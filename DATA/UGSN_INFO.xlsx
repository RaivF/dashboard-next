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10560"/>
  </bookViews>
  <sheets>
    <sheet name="Свод" sheetId="4" r:id="rId1"/>
    <sheet name="СПО БК" sheetId="13" r:id="rId2"/>
    <sheet name="СПО ПК" sheetId="12" r:id="rId3"/>
    <sheet name="СПО ВК" sheetId="10" r:id="rId4"/>
    <sheet name="СПО ЭФ" sheetId="8" r:id="rId5"/>
    <sheet name="ВО ЭФ " sheetId="9" r:id="rId6"/>
    <sheet name="Бакалавриат" sheetId="1" r:id="rId7"/>
    <sheet name="Специалитет" sheetId="2" r:id="rId8"/>
    <sheet name="Магистратура" sheetId="3" r:id="rId9"/>
    <sheet name="УГСН Бакалавриат" sheetId="5" r:id="rId10"/>
    <sheet name="УГСН Специалитет" sheetId="6" r:id="rId11"/>
    <sheet name="УГСН Магистратура" sheetId="7" r:id="rId12"/>
  </sheets>
  <definedNames>
    <definedName name="_xlnm._FilterDatabase" localSheetId="6" hidden="1">Бакалавриат!$A$3:$A$34</definedName>
    <definedName name="_xlnm._FilterDatabase" localSheetId="9" hidden="1">'УГСН Бакалавриат'!$A$1:$D$110</definedName>
    <definedName name="_xlnm._FilterDatabase" localSheetId="11" hidden="1">'УГСН Магистратура'!$A$1:$D$71</definedName>
    <definedName name="_xlnm._FilterDatabase" localSheetId="10" hidden="1">'УГСН Специалитет'!$A$1:$D$8</definedName>
  </definedNames>
  <calcPr calcId="162913" iterateDelta="1E-4"/>
</workbook>
</file>

<file path=xl/calcChain.xml><?xml version="1.0" encoding="utf-8"?>
<calcChain xmlns="http://schemas.openxmlformats.org/spreadsheetml/2006/main">
  <c r="E3" i="4" l="1"/>
  <c r="D3" i="4"/>
  <c r="G3" i="4"/>
  <c r="F3" i="4"/>
  <c r="C3" i="4"/>
  <c r="B3" i="4"/>
  <c r="C6" i="4" l="1"/>
  <c r="B6" i="4"/>
  <c r="B4" i="4" l="1"/>
  <c r="C4" i="4"/>
  <c r="D4" i="4"/>
  <c r="E4" i="4"/>
  <c r="F4" i="4"/>
  <c r="G4" i="4"/>
  <c r="B5" i="4"/>
  <c r="C5" i="4"/>
  <c r="D5" i="4"/>
  <c r="E5" i="4"/>
  <c r="F5" i="4"/>
  <c r="G5" i="4"/>
  <c r="B10" i="8"/>
  <c r="C10" i="8"/>
  <c r="B6" i="9"/>
  <c r="C6" i="9"/>
  <c r="D6" i="9"/>
  <c r="E6" i="9"/>
  <c r="F6" i="9"/>
  <c r="G6" i="9"/>
  <c r="B35" i="1"/>
  <c r="C35" i="1"/>
  <c r="D35" i="1"/>
  <c r="E35" i="1"/>
  <c r="F35" i="1"/>
  <c r="G35" i="1"/>
  <c r="B35" i="2"/>
  <c r="C35" i="2"/>
  <c r="D35" i="2"/>
  <c r="E35" i="2"/>
  <c r="F35" i="2"/>
  <c r="G35" i="2"/>
  <c r="B35" i="3"/>
  <c r="C35" i="3"/>
  <c r="D35" i="3"/>
  <c r="E35" i="3"/>
  <c r="F35" i="3"/>
  <c r="G35" i="3"/>
</calcChain>
</file>

<file path=xl/sharedStrings.xml><?xml version="1.0" encoding="utf-8"?>
<sst xmlns="http://schemas.openxmlformats.org/spreadsheetml/2006/main" count="960" uniqueCount="404">
  <si>
    <t>Очная</t>
  </si>
  <si>
    <t>Очно-заочная</t>
  </si>
  <si>
    <t>Заочная</t>
  </si>
  <si>
    <t>Всего</t>
  </si>
  <si>
    <t>Контракт</t>
  </si>
  <si>
    <t>Бакалавриат</t>
  </si>
  <si>
    <t>Специалитет</t>
  </si>
  <si>
    <t>Магистратура</t>
  </si>
  <si>
    <t>СПО</t>
  </si>
  <si>
    <t>Аспирантура</t>
  </si>
  <si>
    <t>09.02.01 Компьютерные системы и комплексы</t>
  </si>
  <si>
    <t>44.02.02 Преподавание в начальных классах</t>
  </si>
  <si>
    <t>40.02.04 Юриспруденция</t>
  </si>
  <si>
    <t>39.02.01 Социальная работа</t>
  </si>
  <si>
    <t>40.02.02 Правоохранительная деятельность</t>
  </si>
  <si>
    <t>38.02.01 Экономика и бухгалтерский учёт (по отраслям)</t>
  </si>
  <si>
    <t>34.02.01 Сестринское дело</t>
  </si>
  <si>
    <t>38.03.01 Экономика (Экономика предприятий и организаций)</t>
  </si>
  <si>
    <t>40.03.01 Юриспруденция (Государственно-правовой профиль)</t>
  </si>
  <si>
    <t>13.03.02 Электроэнергетика и электротехника (Электроэнергетика, электротехника и электромеханика)</t>
  </si>
  <si>
    <t>01.00.00 Математика и механика</t>
  </si>
  <si>
    <t>02.00.00 Компьютерные и информационные науки</t>
  </si>
  <si>
    <t xml:space="preserve">04.00.00 Химия </t>
  </si>
  <si>
    <t xml:space="preserve">05.00.00 Науки о земле </t>
  </si>
  <si>
    <t xml:space="preserve">06.00.00 Биологические науки </t>
  </si>
  <si>
    <t xml:space="preserve">08.00.00 Техника и технологии строительства </t>
  </si>
  <si>
    <t>09.00.00 Информатика и вычислительная техника</t>
  </si>
  <si>
    <t xml:space="preserve">10.00.00 Информационная безопасность </t>
  </si>
  <si>
    <t xml:space="preserve">11.00.00 Электроника, радиотехника и системы связи </t>
  </si>
  <si>
    <t xml:space="preserve">13.00.00 Электро- и теплоэнергетика </t>
  </si>
  <si>
    <t xml:space="preserve">15.00.00 Машиностроение </t>
  </si>
  <si>
    <t xml:space="preserve">19.00.00 Промышленная экология и биотехнологии </t>
  </si>
  <si>
    <t xml:space="preserve">20.00.00 Техносферная безопасность и природообустройство </t>
  </si>
  <si>
    <t xml:space="preserve">23.00.00 Техника и технологии наземного транспорта </t>
  </si>
  <si>
    <t xml:space="preserve">24.00.00 Авиационная и ракетно-космическая техника </t>
  </si>
  <si>
    <t xml:space="preserve">34.00.00 Сестринское дело </t>
  </si>
  <si>
    <t xml:space="preserve">35.00.00 Сельское, лесное и рыбное хозяйство </t>
  </si>
  <si>
    <t xml:space="preserve">37.00.00 Психологические науки </t>
  </si>
  <si>
    <t xml:space="preserve">38.00.00 Экономика и управление </t>
  </si>
  <si>
    <t xml:space="preserve">39.00.00 Социология и социальная работа </t>
  </si>
  <si>
    <t xml:space="preserve">40.00.00 Юриспруденция </t>
  </si>
  <si>
    <t>41.00.00 Политические науки и регионоведение</t>
  </si>
  <si>
    <t xml:space="preserve">42.00.00 Средства массовой информации и информационно-библиотечное дело </t>
  </si>
  <si>
    <t xml:space="preserve">43.00.00 Сервис и туризм </t>
  </si>
  <si>
    <t xml:space="preserve">44.00.00 Образование и педагогические науки </t>
  </si>
  <si>
    <t xml:space="preserve">45.00.00 Языкознание и литературоведение </t>
  </si>
  <si>
    <t xml:space="preserve">46.00.00 История и археология </t>
  </si>
  <si>
    <t xml:space="preserve">49.00.00 Физическая культура и спорт </t>
  </si>
  <si>
    <t>51.00.00 Культуроведение и социокультурные проекты</t>
  </si>
  <si>
    <t xml:space="preserve">52.00.00 Сценические искусства и литературное творчество </t>
  </si>
  <si>
    <t xml:space="preserve">54.00.00 Изобразительное и прикладные виды искусств </t>
  </si>
  <si>
    <t xml:space="preserve">56.00.00 Военное управление </t>
  </si>
  <si>
    <t>УГСН</t>
  </si>
  <si>
    <t>шифр</t>
  </si>
  <si>
    <t>направление/специальность</t>
  </si>
  <si>
    <t>профиль</t>
  </si>
  <si>
    <t xml:space="preserve">01.03.05 </t>
  </si>
  <si>
    <t>Статистика</t>
  </si>
  <si>
    <t xml:space="preserve">Статистика и анализ данных   </t>
  </si>
  <si>
    <t>02.03.02</t>
  </si>
  <si>
    <t>Фундаментальная информатика и информационные технологии</t>
  </si>
  <si>
    <t>Программирование и информационные технологии</t>
  </si>
  <si>
    <t>04.03.01</t>
  </si>
  <si>
    <t>Химия</t>
  </si>
  <si>
    <t>Органическая и биоорганическая химия</t>
  </si>
  <si>
    <t>Химическая экспертиза и химический анализ в криминалистике</t>
  </si>
  <si>
    <t>05.03.02</t>
  </si>
  <si>
    <t xml:space="preserve">География </t>
  </si>
  <si>
    <t>Физическая и общественная география</t>
  </si>
  <si>
    <t>05.03.06</t>
  </si>
  <si>
    <t>Экология и природопользование</t>
  </si>
  <si>
    <t>Дистанционное зондирование и цифровые технологии в экологии</t>
  </si>
  <si>
    <t>06.03.01</t>
  </si>
  <si>
    <t>Биология</t>
  </si>
  <si>
    <t>Биологические основы физической реабилитации</t>
  </si>
  <si>
    <t>06.03.02</t>
  </si>
  <si>
    <t xml:space="preserve"> Почвоведение </t>
  </si>
  <si>
    <t>Управление качеством почв и биотехнологий</t>
  </si>
  <si>
    <t>Управление земельными ресурсами</t>
  </si>
  <si>
    <t>08.03.01</t>
  </si>
  <si>
    <t>Строительство</t>
  </si>
  <si>
    <t>Промышленное и гражданское строительство</t>
  </si>
  <si>
    <t>Строительство и эксплуатация автомобильных дорог</t>
  </si>
  <si>
    <t>09.03.01</t>
  </si>
  <si>
    <t xml:space="preserve">Информатика и вычислительная техника </t>
  </si>
  <si>
    <t>(Информатика и вычеслительная техника)</t>
  </si>
  <si>
    <t>10.03.01</t>
  </si>
  <si>
    <t>Информационная безопасность</t>
  </si>
  <si>
    <t>Безопасность компьютерных систем (по отрасли или в сфере профессиональной деятельности)</t>
  </si>
  <si>
    <t>11.03.01</t>
  </si>
  <si>
    <t>Радиотехника</t>
  </si>
  <si>
    <t>Цифровые системы локации, связи и навигации</t>
  </si>
  <si>
    <t>13.03.02</t>
  </si>
  <si>
    <t>Электроэнергетика и электротехника</t>
  </si>
  <si>
    <t>Электроэнергетика, электротехника и электромеханика</t>
  </si>
  <si>
    <t>15.03.02</t>
  </si>
  <si>
    <t>Технологические машины и оборудование</t>
  </si>
  <si>
    <t>Компьютерный инжиниринг пищевых производств</t>
  </si>
  <si>
    <t>15.03.03</t>
  </si>
  <si>
    <t>Прикладная механика</t>
  </si>
  <si>
    <t>Компьютерное проектирование и дизайн</t>
  </si>
  <si>
    <t>Цифровые двойники изделий</t>
  </si>
  <si>
    <t>Проектно-конструкторское обеспечение машиностроения</t>
  </si>
  <si>
    <t>15.03.05</t>
  </si>
  <si>
    <t>Конструкторско-технологическое обеспечение машиностроительных производств</t>
  </si>
  <si>
    <t>15.03.06</t>
  </si>
  <si>
    <t>Мехатроника и робототехника</t>
  </si>
  <si>
    <t>Промышленые роботы и  роботизированные  системы</t>
  </si>
  <si>
    <t>Мехатронные и роботизированные технологические системы и комплексы</t>
  </si>
  <si>
    <t>19.03.01</t>
  </si>
  <si>
    <t>Биотехнология</t>
  </si>
  <si>
    <t>Биохимия и биотехнология</t>
  </si>
  <si>
    <t>19.03.02</t>
  </si>
  <si>
    <t>Продукты питания из растительного сырья</t>
  </si>
  <si>
    <t>Технология пищевых продуктов общего и специального назначения</t>
  </si>
  <si>
    <t>19.03.03</t>
  </si>
  <si>
    <t>Продукты питания животного происхождения</t>
  </si>
  <si>
    <t>Технология производства продуктов питания животного происхождения</t>
  </si>
  <si>
    <t>19.03.04</t>
  </si>
  <si>
    <t>Технология продукции и организация общественного питания</t>
  </si>
  <si>
    <t>Технология продукции и управления деятельности гостиниц и ресторанов</t>
  </si>
  <si>
    <t>Технология продукции и организация деятельности предприятий питания</t>
  </si>
  <si>
    <t>20.03.01</t>
  </si>
  <si>
    <t>Техносферная безопасность</t>
  </si>
  <si>
    <t>Охрана труда</t>
  </si>
  <si>
    <t>Безопасность труда</t>
  </si>
  <si>
    <t>23.03.02</t>
  </si>
  <si>
    <t>Наземные транспортно-технологические комплексы</t>
  </si>
  <si>
    <t>Эксплуатация и ремонт технических средств</t>
  </si>
  <si>
    <t>23.03.03</t>
  </si>
  <si>
    <t>Эксплуатация транспортно-технологических машин и комплексов</t>
  </si>
  <si>
    <t>24.03.04</t>
  </si>
  <si>
    <t>Авиастроение</t>
  </si>
  <si>
    <t>Беспилотные летательные аппараты</t>
  </si>
  <si>
    <t>34.03.01</t>
  </si>
  <si>
    <t>Сестринское дело</t>
  </si>
  <si>
    <t>Медико-организационная и педагогическая деятельность в сфере здравоохранения</t>
  </si>
  <si>
    <t>35.03.01</t>
  </si>
  <si>
    <t>Лесное дело</t>
  </si>
  <si>
    <t>Лесное и лесопарковое хозяйство</t>
  </si>
  <si>
    <t>35.03.03</t>
  </si>
  <si>
    <t>Агрохимия и агропочвоведение</t>
  </si>
  <si>
    <t>Агрохимическое обеспечение агротехнологий</t>
  </si>
  <si>
    <t>35.03.04</t>
  </si>
  <si>
    <t>Агрономия</t>
  </si>
  <si>
    <t>Агробизнес</t>
  </si>
  <si>
    <t>35.03.05</t>
  </si>
  <si>
    <t>Садоводство</t>
  </si>
  <si>
    <t>Плодоводство, овощеводство, виноградарство</t>
  </si>
  <si>
    <t>35.03.06</t>
  </si>
  <si>
    <t>Агроинженерия</t>
  </si>
  <si>
    <t>Технические системы в агробизнесе</t>
  </si>
  <si>
    <t>35.03.08</t>
  </si>
  <si>
    <t>Водные биоресурсы и аквакультура</t>
  </si>
  <si>
    <t>35.03.10</t>
  </si>
  <si>
    <t>Ландшафтная архитектура</t>
  </si>
  <si>
    <t>Ландшафтное проектирование</t>
  </si>
  <si>
    <t>35.03.11</t>
  </si>
  <si>
    <t>Гидромелиорация</t>
  </si>
  <si>
    <t>37.03.01</t>
  </si>
  <si>
    <t>Психология</t>
  </si>
  <si>
    <t>38.03.01</t>
  </si>
  <si>
    <t>Экономика</t>
  </si>
  <si>
    <t>Экономика предприятий</t>
  </si>
  <si>
    <t>Цифровая экономика</t>
  </si>
  <si>
    <t>Экономика агропромышленного комплекса</t>
  </si>
  <si>
    <t>Экономика предприятий и организаций</t>
  </si>
  <si>
    <t>Учет и аудит</t>
  </si>
  <si>
    <t>Учет, анализ и аудит</t>
  </si>
  <si>
    <t>Финансы и кредит</t>
  </si>
  <si>
    <t>38.03.02</t>
  </si>
  <si>
    <t>Менеджмент</t>
  </si>
  <si>
    <t>Менеджмент предприятий и организаций</t>
  </si>
  <si>
    <t>38.03.03</t>
  </si>
  <si>
    <t>Управление персоналом</t>
  </si>
  <si>
    <t>38.03.04</t>
  </si>
  <si>
    <t>Государственное и муниципальное управление</t>
  </si>
  <si>
    <t>38.03.05</t>
  </si>
  <si>
    <t>Бизнес-информатика</t>
  </si>
  <si>
    <t>38.03.06</t>
  </si>
  <si>
    <t>Торговое дело</t>
  </si>
  <si>
    <t>Маркетинг</t>
  </si>
  <si>
    <t>38.03.10</t>
  </si>
  <si>
    <t>Жилищное хозяйство и коммунальная инфраструктура</t>
  </si>
  <si>
    <t>Экономика жилищно-коммунального хозяйства</t>
  </si>
  <si>
    <t>39.03.01</t>
  </si>
  <si>
    <t>Социология</t>
  </si>
  <si>
    <t>39.03.02</t>
  </si>
  <si>
    <t>Социальная работа</t>
  </si>
  <si>
    <t>Социальная работа и социальное предпринимательство</t>
  </si>
  <si>
    <t>39.03.03</t>
  </si>
  <si>
    <t>Организация работы с молодежью</t>
  </si>
  <si>
    <t>40.03.01</t>
  </si>
  <si>
    <t>Юриспруденция</t>
  </si>
  <si>
    <t>Государственно-правовой профиль</t>
  </si>
  <si>
    <t>Гражданско-правовой профиль</t>
  </si>
  <si>
    <t>Уголовно-правовый профиль</t>
  </si>
  <si>
    <t>41.03.04</t>
  </si>
  <si>
    <t>Политология</t>
  </si>
  <si>
    <t>42.03.01</t>
  </si>
  <si>
    <t>Реклама и связи с общественностью</t>
  </si>
  <si>
    <t>Реклама связи с общественностью</t>
  </si>
  <si>
    <t>42.03.04</t>
  </si>
  <si>
    <t>Телевидение</t>
  </si>
  <si>
    <t>42.03.05</t>
  </si>
  <si>
    <t>Медиакоммуникации</t>
  </si>
  <si>
    <t>Медиакоммуникации в коммерческой и социальной сфере</t>
  </si>
  <si>
    <t>43.03.01</t>
  </si>
  <si>
    <t>Сервис</t>
  </si>
  <si>
    <t>Сервис в индустрии моды и красоты</t>
  </si>
  <si>
    <t>43.03.02</t>
  </si>
  <si>
    <t>Туризм</t>
  </si>
  <si>
    <t>Технология и организация услуг на предприятиях индустрии туризма</t>
  </si>
  <si>
    <t>43.03.03</t>
  </si>
  <si>
    <t>Гостиничное дело</t>
  </si>
  <si>
    <t>Гостиничная деятельность</t>
  </si>
  <si>
    <t>44.03.01</t>
  </si>
  <si>
    <t>Педагогическое образование</t>
  </si>
  <si>
    <t>Дошкольное образование</t>
  </si>
  <si>
    <t>Начальное образование</t>
  </si>
  <si>
    <t>Дополнительное образование в области хореографического искусства</t>
  </si>
  <si>
    <t>Музыка</t>
  </si>
  <si>
    <t>Физическая культура</t>
  </si>
  <si>
    <t>История</t>
  </si>
  <si>
    <t>44.03.02</t>
  </si>
  <si>
    <t>Психолого-педагогическое образование</t>
  </si>
  <si>
    <t>Психология и социальная педагогика</t>
  </si>
  <si>
    <t>44.03.03</t>
  </si>
  <si>
    <t>Специальное (дефектологическое) образование</t>
  </si>
  <si>
    <t>Логопедия</t>
  </si>
  <si>
    <t>Дефектология</t>
  </si>
  <si>
    <t>44.03.04</t>
  </si>
  <si>
    <t>Профессиональное обучение (по отраслям)</t>
  </si>
  <si>
    <t>Информатика и вычислительная техника</t>
  </si>
  <si>
    <t>44.03.05</t>
  </si>
  <si>
    <t>Педагогическое образование (с двумя профилями подготовки)</t>
  </si>
  <si>
    <t>Дошкольное образование. Начальное образование</t>
  </si>
  <si>
    <t>Дошкольное образование. Логопедия</t>
  </si>
  <si>
    <t>Начальное образование. Иностранный язык (английский)</t>
  </si>
  <si>
    <t>Русский язык и литература</t>
  </si>
  <si>
    <t>Русский язык и иностранный язык (английский)</t>
  </si>
  <si>
    <t>Физика и математика</t>
  </si>
  <si>
    <t>Математика и информатика</t>
  </si>
  <si>
    <t>История. Обществознание</t>
  </si>
  <si>
    <t>География. Иностранный язык (Английский)</t>
  </si>
  <si>
    <t>География. Экология</t>
  </si>
  <si>
    <t>География. Физическая культура</t>
  </si>
  <si>
    <t>География. Биология.</t>
  </si>
  <si>
    <t>Биология. Психология</t>
  </si>
  <si>
    <t>Биология. Химия</t>
  </si>
  <si>
    <t>Биология. Безопасность жизнедеятельности</t>
  </si>
  <si>
    <t>Химия. Биология</t>
  </si>
  <si>
    <t>Иностранный язык (английский) и Иностранный язык (немецкий)</t>
  </si>
  <si>
    <t>Иностранный язык (английский). Информатика</t>
  </si>
  <si>
    <t>45.03.02</t>
  </si>
  <si>
    <t>Лингвистика</t>
  </si>
  <si>
    <t>Перевод и переводоведение</t>
  </si>
  <si>
    <t>46.03.01</t>
  </si>
  <si>
    <t>История и археология</t>
  </si>
  <si>
    <t xml:space="preserve">49.03.01 </t>
  </si>
  <si>
    <t>49.03.02</t>
  </si>
  <si>
    <t>Физическая культура для лиц с отклонениями в состоянии здоровья (адаптивная физическая культура)</t>
  </si>
  <si>
    <t>Адаптивная физическая культура</t>
  </si>
  <si>
    <t>49.03.03</t>
  </si>
  <si>
    <t>Рекреация и спортивно-оздоровительный туризм</t>
  </si>
  <si>
    <t>Организация санаторно-курортной рекреации</t>
  </si>
  <si>
    <t>51.03.01</t>
  </si>
  <si>
    <t>Культурология</t>
  </si>
  <si>
    <t>52.03.01</t>
  </si>
  <si>
    <t>Хореографическое искусство</t>
  </si>
  <si>
    <t>Искусство балетмейстера</t>
  </si>
  <si>
    <t>54.03.01</t>
  </si>
  <si>
    <t>Дизайн</t>
  </si>
  <si>
    <t>10.05.01</t>
  </si>
  <si>
    <t>Компьютерная безопасность</t>
  </si>
  <si>
    <t>38.05.01</t>
  </si>
  <si>
    <t>Экономическая безопасность</t>
  </si>
  <si>
    <t>Экономико-правовое обеспечение экономической безопасности</t>
  </si>
  <si>
    <t>40.05.01</t>
  </si>
  <si>
    <t>Правовое обеспечение национальной безопасности</t>
  </si>
  <si>
    <t xml:space="preserve">Гражданско-правовая </t>
  </si>
  <si>
    <t>40.05.02</t>
  </si>
  <si>
    <t>Правоохранительная деятельность</t>
  </si>
  <si>
    <t>Административная деятельность полиции</t>
  </si>
  <si>
    <t>40.05.04</t>
  </si>
  <si>
    <t>Судебная и прокурорская деятельность</t>
  </si>
  <si>
    <t>Прокурорская деятельность</t>
  </si>
  <si>
    <t>56.05.05</t>
  </si>
  <si>
    <t>Военная журналистика</t>
  </si>
  <si>
    <t>56.05.08</t>
  </si>
  <si>
    <t>Военно-политическая работа</t>
  </si>
  <si>
    <t>Военно-политическая работа в войсках (силах)</t>
  </si>
  <si>
    <t>01.04.05</t>
  </si>
  <si>
    <t>Интеллектуальный анализ и управление данными</t>
  </si>
  <si>
    <t>02.04.02</t>
  </si>
  <si>
    <t>04.04.01</t>
  </si>
  <si>
    <t>05.04.06</t>
  </si>
  <si>
    <t>Устойчивое развитие и охрана природных объектов</t>
  </si>
  <si>
    <t>06.04.01</t>
  </si>
  <si>
    <t>Биомедицина с основами физической реабилитации</t>
  </si>
  <si>
    <t>Организационно-управленческая деятельность в сфере здравоохранения</t>
  </si>
  <si>
    <t>09.04.01</t>
  </si>
  <si>
    <t>10.04.01</t>
  </si>
  <si>
    <t>Безопасность компьютерных систем</t>
  </si>
  <si>
    <t>13.04.02</t>
  </si>
  <si>
    <t>15.04.02</t>
  </si>
  <si>
    <t>15.04.03</t>
  </si>
  <si>
    <t>Компьютерный инжиниринг и вычислительная механика</t>
  </si>
  <si>
    <t>15.04.06</t>
  </si>
  <si>
    <t>Промышленные роботы и роботизированные  системы</t>
  </si>
  <si>
    <t>19.04.01</t>
  </si>
  <si>
    <t>19.04.02</t>
  </si>
  <si>
    <t>Организация, ведение и проектирование технологий пищевых продуктов</t>
  </si>
  <si>
    <t>19.04.04</t>
  </si>
  <si>
    <t>Стратегическое управление предприятиями сферы гостеприимства и общественного питания</t>
  </si>
  <si>
    <t>Технология и организация производства продуктов здорового питания</t>
  </si>
  <si>
    <t>20.04.01</t>
  </si>
  <si>
    <t>Управление безопасностью труда</t>
  </si>
  <si>
    <t>Управление охраной труда</t>
  </si>
  <si>
    <t>23.04.02</t>
  </si>
  <si>
    <t>23.04.03</t>
  </si>
  <si>
    <t>35.04.01</t>
  </si>
  <si>
    <t>Лесоустройство и управление лесными ресурсами</t>
  </si>
  <si>
    <t>35.04.04</t>
  </si>
  <si>
    <t>35.04.05</t>
  </si>
  <si>
    <t>35.04.06</t>
  </si>
  <si>
    <t>35.04.09</t>
  </si>
  <si>
    <t>Садово-парковое и ландшафтное строительство</t>
  </si>
  <si>
    <t>35.04.10</t>
  </si>
  <si>
    <t>37.04.01</t>
  </si>
  <si>
    <t>Практическая психология</t>
  </si>
  <si>
    <t>38.04.01</t>
  </si>
  <si>
    <t>38.04.02</t>
  </si>
  <si>
    <t>38.04.04</t>
  </si>
  <si>
    <t>38.04.06</t>
  </si>
  <si>
    <t>38.04.08</t>
  </si>
  <si>
    <t>Государственные и муниципальные финансы</t>
  </si>
  <si>
    <t>39.04.01</t>
  </si>
  <si>
    <t>39.04.02</t>
  </si>
  <si>
    <t>Менеджмент в социальной сфере</t>
  </si>
  <si>
    <t>39.04.03</t>
  </si>
  <si>
    <t>Межнациональные отношения и профилактика экстремизма в молодежной среде</t>
  </si>
  <si>
    <t>40.04.01</t>
  </si>
  <si>
    <t>41.04.04</t>
  </si>
  <si>
    <t>42.04.02</t>
  </si>
  <si>
    <t>Журналистика</t>
  </si>
  <si>
    <t>42.04.05</t>
  </si>
  <si>
    <t>43.04.02</t>
  </si>
  <si>
    <t>Организация стратегического управления предприятиями туристской сферы</t>
  </si>
  <si>
    <t>Организация стратегического управления предприятиями туристской сферы, туристическими продуктами и услугами</t>
  </si>
  <si>
    <t>44.04.01</t>
  </si>
  <si>
    <t>Музыкальное образование</t>
  </si>
  <si>
    <t>Инновационные технологии подготовки учителя в образовательной области "Математика и информатика"</t>
  </si>
  <si>
    <t>Технологии обучения в физико-математическом образовании</t>
  </si>
  <si>
    <t>Теория спорта и технологии спортивной подготовки</t>
  </si>
  <si>
    <t>Теория и практика географического образования и экологического просвещения</t>
  </si>
  <si>
    <t>Географическое образование и физическая культура</t>
  </si>
  <si>
    <t>Проектирование педагогических систем в биологическом и химическом образование</t>
  </si>
  <si>
    <t>Биология и психология в системе образования</t>
  </si>
  <si>
    <t>Преподавание иностранных языков и проектирование в иноязычном образовании</t>
  </si>
  <si>
    <t>Управление образовательной организацией</t>
  </si>
  <si>
    <t>44.04.02</t>
  </si>
  <si>
    <t>44.04.03</t>
  </si>
  <si>
    <t>Логопедическая работа в системе здравоохранения</t>
  </si>
  <si>
    <t>Специальная психология</t>
  </si>
  <si>
    <t>44.04.04</t>
  </si>
  <si>
    <t>Управление информационной безопасностью в профессиональном образовании</t>
  </si>
  <si>
    <t>45.04.02</t>
  </si>
  <si>
    <t>Теория и практика перевода</t>
  </si>
  <si>
    <t>Лингвистическое обеспечение психологических операций (английский и украинский языки)</t>
  </si>
  <si>
    <t>46.04.01</t>
  </si>
  <si>
    <t>51.04.01</t>
  </si>
  <si>
    <t>Компьютерные системы и комплексы</t>
  </si>
  <si>
    <t>Технология продуктов питания животного происхождения</t>
  </si>
  <si>
    <t>35.02.05</t>
  </si>
  <si>
    <t>36.02.01</t>
  </si>
  <si>
    <t xml:space="preserve"> Ветеринария</t>
  </si>
  <si>
    <t>38.02.01</t>
  </si>
  <si>
    <t xml:space="preserve"> Экономика и бухгалтерский учёт</t>
  </si>
  <si>
    <t>40.02.01</t>
  </si>
  <si>
    <t>Право и организация социального обеспечения</t>
  </si>
  <si>
    <t>40.02.04</t>
  </si>
  <si>
    <t>44.02.01</t>
  </si>
  <si>
    <t xml:space="preserve"> Дошкольное образование</t>
  </si>
  <si>
    <t>09.02.01</t>
  </si>
  <si>
    <t>19.02.12</t>
  </si>
  <si>
    <t>21.02.19</t>
  </si>
  <si>
    <t>Землеустройство</t>
  </si>
  <si>
    <t>15.02.19</t>
  </si>
  <si>
    <t>Сварочное производство</t>
  </si>
  <si>
    <t>38.02.06</t>
  </si>
  <si>
    <t>Финансы</t>
  </si>
  <si>
    <t>25.02.08</t>
  </si>
  <si>
    <t>Эксплуатация беспилотных авиационных систем</t>
  </si>
  <si>
    <t>35.02.16</t>
  </si>
  <si>
    <t>Эксплуатация и ремонт сельскохозяйственной техники и оборудования</t>
  </si>
  <si>
    <t>19.02.11</t>
  </si>
  <si>
    <t xml:space="preserve">43.02.16 </t>
  </si>
  <si>
    <t>Технология продуктов питания из растительного сырья</t>
  </si>
  <si>
    <t>Монтаж, техническое обслуживание и ремонт промышленного оборудования (по отраслям)</t>
  </si>
  <si>
    <t>Монтаж, техническое обслуживания, эксплуатация и ремонт промышленного оборудования (по отраслям)</t>
  </si>
  <si>
    <t>Туризм и гостеприимство</t>
  </si>
  <si>
    <t>15.02.12</t>
  </si>
  <si>
    <t>15.02.17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</si>
</sst>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b/>
      <sz val="12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FED2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49" fontId="2" fillId="5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49" fontId="0" fillId="5" borderId="3" xfId="0" applyNumberForma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49" fontId="0" fillId="5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2" xfId="0" applyNumberForma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49" fontId="0" fillId="5" borderId="2" xfId="0" applyNumberFormat="1" applyFill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6" borderId="10" xfId="0" applyFont="1" applyFill="1" applyBorder="1" applyAlignment="1">
      <alignment vertical="top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6" borderId="14" xfId="0" applyFont="1" applyFill="1" applyBorder="1" applyAlignment="1">
      <alignment vertical="top" wrapText="1"/>
    </xf>
    <xf numFmtId="0" fontId="0" fillId="0" borderId="15" xfId="0" applyBorder="1"/>
    <xf numFmtId="0" fontId="0" fillId="0" borderId="1" xfId="0" applyBorder="1"/>
    <xf numFmtId="0" fontId="0" fillId="0" borderId="16" xfId="0" applyBorder="1"/>
    <xf numFmtId="0" fontId="2" fillId="6" borderId="17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vertical="top" wrapText="1"/>
    </xf>
    <xf numFmtId="0" fontId="2" fillId="6" borderId="18" xfId="0" applyFont="1" applyFill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6" borderId="22" xfId="0" applyFont="1" applyFill="1" applyBorder="1" applyAlignment="1">
      <alignment vertical="top" wrapText="1"/>
    </xf>
    <xf numFmtId="0" fontId="0" fillId="0" borderId="23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8" xfId="0" applyBorder="1"/>
    <xf numFmtId="0" fontId="0" fillId="0" borderId="9" xfId="0" applyBorder="1"/>
    <xf numFmtId="0" fontId="0" fillId="0" borderId="27" xfId="0" applyBorder="1"/>
    <xf numFmtId="0" fontId="0" fillId="4" borderId="11" xfId="0" applyFill="1" applyBorder="1"/>
    <xf numFmtId="0" fontId="0" fillId="4" borderId="13" xfId="0" applyFill="1" applyBorder="1"/>
    <xf numFmtId="0" fontId="0" fillId="4" borderId="15" xfId="0" applyFill="1" applyBorder="1"/>
    <xf numFmtId="0" fontId="0" fillId="4" borderId="16" xfId="0" applyFill="1" applyBorder="1"/>
    <xf numFmtId="0" fontId="0" fillId="6" borderId="5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1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  <xf numFmtId="0" fontId="0" fillId="0" borderId="31" xfId="0" applyBorder="1"/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2" fillId="6" borderId="13" xfId="0" applyFont="1" applyFill="1" applyBorder="1" applyAlignment="1">
      <alignment vertical="top" wrapText="1"/>
    </xf>
    <xf numFmtId="0" fontId="2" fillId="6" borderId="36" xfId="0" applyFont="1" applyFill="1" applyBorder="1" applyAlignment="1">
      <alignment vertical="top" wrapText="1"/>
    </xf>
    <xf numFmtId="0" fontId="0" fillId="0" borderId="35" xfId="0" applyBorder="1"/>
    <xf numFmtId="49" fontId="2" fillId="6" borderId="11" xfId="0" applyNumberFormat="1" applyFont="1" applyFill="1" applyBorder="1" applyAlignment="1">
      <alignment vertical="top" wrapText="1"/>
    </xf>
    <xf numFmtId="49" fontId="2" fillId="6" borderId="35" xfId="0" applyNumberFormat="1" applyFont="1" applyFill="1" applyBorder="1" applyAlignment="1">
      <alignment vertical="top" wrapText="1"/>
    </xf>
    <xf numFmtId="0" fontId="2" fillId="6" borderId="35" xfId="0" applyFont="1" applyFill="1" applyBorder="1" applyAlignment="1">
      <alignment vertical="top" wrapText="1"/>
    </xf>
    <xf numFmtId="0" fontId="2" fillId="6" borderId="37" xfId="0" applyFont="1" applyFill="1" applyBorder="1" applyAlignment="1">
      <alignment vertical="top" wrapText="1"/>
    </xf>
    <xf numFmtId="0" fontId="2" fillId="6" borderId="34" xfId="0" applyFont="1" applyFill="1" applyBorder="1" applyAlignment="1">
      <alignment vertical="top" wrapText="1"/>
    </xf>
    <xf numFmtId="0" fontId="2" fillId="0" borderId="13" xfId="0" applyFont="1" applyFill="1" applyBorder="1" applyAlignment="1">
      <alignment vertical="top" wrapText="1"/>
    </xf>
    <xf numFmtId="0" fontId="2" fillId="0" borderId="36" xfId="0" applyFont="1" applyFill="1" applyBorder="1" applyAlignment="1">
      <alignment vertical="top" wrapText="1"/>
    </xf>
    <xf numFmtId="0" fontId="4" fillId="6" borderId="13" xfId="0" applyFont="1" applyFill="1" applyBorder="1"/>
    <xf numFmtId="0" fontId="4" fillId="6" borderId="36" xfId="0" applyFont="1" applyFill="1" applyBorder="1" applyAlignment="1">
      <alignment wrapText="1"/>
    </xf>
    <xf numFmtId="0" fontId="4" fillId="6" borderId="36" xfId="0" applyFont="1" applyFill="1" applyBorder="1"/>
    <xf numFmtId="0" fontId="4" fillId="6" borderId="38" xfId="0" applyFont="1" applyFill="1" applyBorder="1"/>
    <xf numFmtId="0" fontId="4" fillId="0" borderId="11" xfId="0" applyFont="1" applyFill="1" applyBorder="1"/>
    <xf numFmtId="0" fontId="4" fillId="0" borderId="35" xfId="0" applyFont="1" applyFill="1" applyBorder="1"/>
    <xf numFmtId="0" fontId="4" fillId="0" borderId="22" xfId="0" applyFont="1" applyFill="1" applyBorder="1"/>
    <xf numFmtId="0" fontId="4" fillId="0" borderId="24" xfId="0" applyFont="1" applyFill="1" applyBorder="1"/>
    <xf numFmtId="0" fontId="4" fillId="6" borderId="33" xfId="0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4" fillId="4" borderId="11" xfId="0" applyFont="1" applyFill="1" applyBorder="1"/>
    <xf numFmtId="0" fontId="4" fillId="4" borderId="35" xfId="0" applyFont="1" applyFill="1" applyBorder="1"/>
    <xf numFmtId="0" fontId="4" fillId="0" borderId="35" xfId="0" applyFont="1" applyBorder="1"/>
    <xf numFmtId="0" fontId="4" fillId="0" borderId="22" xfId="0" applyFont="1" applyBorder="1"/>
    <xf numFmtId="0" fontId="4" fillId="0" borderId="24" xfId="0" applyFont="1" applyBorder="1"/>
    <xf numFmtId="0" fontId="4" fillId="4" borderId="33" xfId="0" applyFont="1" applyFill="1" applyBorder="1"/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4" fillId="6" borderId="22" xfId="0" applyFont="1" applyFill="1" applyBorder="1" applyAlignment="1">
      <alignment horizontal="left"/>
    </xf>
    <xf numFmtId="0" fontId="4" fillId="6" borderId="39" xfId="0" applyFont="1" applyFill="1" applyBorder="1" applyAlignment="1">
      <alignment horizontal="left"/>
    </xf>
    <xf numFmtId="0" fontId="4" fillId="6" borderId="0" xfId="0" applyFont="1" applyFill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</cellXfs>
  <cellStyles count="2">
    <cellStyle name="Обычный" xfId="0" builtinId="0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SheetLayoutView="100" workbookViewId="0">
      <selection activeCell="F15" sqref="F15"/>
    </sheetView>
  </sheetViews>
  <sheetFormatPr defaultColWidth="9" defaultRowHeight="14.4" x14ac:dyDescent="0.3"/>
  <cols>
    <col min="1" max="1" width="13.5546875" customWidth="1"/>
  </cols>
  <sheetData>
    <row r="1" spans="1:7" x14ac:dyDescent="0.3">
      <c r="A1" s="64"/>
      <c r="B1" s="100" t="s">
        <v>0</v>
      </c>
      <c r="C1" s="101"/>
      <c r="D1" s="100" t="s">
        <v>1</v>
      </c>
      <c r="E1" s="101"/>
      <c r="F1" s="100" t="s">
        <v>2</v>
      </c>
      <c r="G1" s="101"/>
    </row>
    <row r="2" spans="1:7" x14ac:dyDescent="0.3">
      <c r="A2" s="65"/>
      <c r="B2" s="66" t="s">
        <v>3</v>
      </c>
      <c r="C2" s="67" t="s">
        <v>4</v>
      </c>
      <c r="D2" s="66" t="s">
        <v>3</v>
      </c>
      <c r="E2" s="67" t="s">
        <v>4</v>
      </c>
      <c r="F2" s="66" t="s">
        <v>3</v>
      </c>
      <c r="G2" s="67" t="s">
        <v>4</v>
      </c>
    </row>
    <row r="3" spans="1:7" x14ac:dyDescent="0.3">
      <c r="A3" s="68" t="s">
        <v>5</v>
      </c>
      <c r="B3" s="42">
        <f>Бакалавриат!B35+'ВО ЭФ '!B6</f>
        <v>5114</v>
      </c>
      <c r="C3" s="44">
        <f>Бакалавриат!C35+'ВО ЭФ '!C6</f>
        <v>811</v>
      </c>
      <c r="D3" s="42">
        <f>Бакалавриат!D35+'ВО ЭФ '!D6</f>
        <v>2296</v>
      </c>
      <c r="E3" s="44">
        <f>Бакалавриат!E35+'ВО ЭФ '!E6</f>
        <v>620</v>
      </c>
      <c r="F3" s="56">
        <f>Бакалавриат!F35+'ВО ЭФ '!F6</f>
        <v>3911</v>
      </c>
      <c r="G3" s="44">
        <f>Бакалавриат!G35+'ВО ЭФ '!G6</f>
        <v>855</v>
      </c>
    </row>
    <row r="4" spans="1:7" x14ac:dyDescent="0.3">
      <c r="A4" s="69" t="s">
        <v>6</v>
      </c>
      <c r="B4" s="42">
        <f>Специалитет!B35</f>
        <v>351</v>
      </c>
      <c r="C4" s="44">
        <f>Специалитет!C35</f>
        <v>144</v>
      </c>
      <c r="D4" s="42">
        <f>Специалитет!D35</f>
        <v>0</v>
      </c>
      <c r="E4" s="44">
        <f>Специалитет!E35</f>
        <v>0</v>
      </c>
      <c r="F4" s="56">
        <f>Специалитет!F35</f>
        <v>237</v>
      </c>
      <c r="G4" s="44">
        <f>Специалитет!G35</f>
        <v>36</v>
      </c>
    </row>
    <row r="5" spans="1:7" x14ac:dyDescent="0.3">
      <c r="A5" s="69" t="s">
        <v>7</v>
      </c>
      <c r="B5" s="42">
        <f>Магистратура!B35</f>
        <v>1321</v>
      </c>
      <c r="C5" s="44">
        <f>Магистратура!C35</f>
        <v>65</v>
      </c>
      <c r="D5" s="42">
        <f>Магистратура!D35</f>
        <v>104</v>
      </c>
      <c r="E5" s="44">
        <f>Магистратура!E35</f>
        <v>46</v>
      </c>
      <c r="F5" s="56">
        <f>Магистратура!F35</f>
        <v>1489</v>
      </c>
      <c r="G5" s="44">
        <f>Магистратура!G35</f>
        <v>534</v>
      </c>
    </row>
    <row r="6" spans="1:7" x14ac:dyDescent="0.3">
      <c r="A6" s="69" t="s">
        <v>8</v>
      </c>
      <c r="B6" s="76">
        <f>'СПО БК'!C9+'СПО ПК'!C9+'СПО ВК'!C11+'СПО ЭФ'!B10</f>
        <v>1199</v>
      </c>
      <c r="C6" s="56">
        <f>'СПО БК'!D9+'СПО ПК'!D9+'СПО ВК'!D11+'СПО ЭФ'!C10</f>
        <v>360</v>
      </c>
      <c r="D6" s="42">
        <v>0</v>
      </c>
      <c r="E6" s="44">
        <v>0</v>
      </c>
      <c r="F6" s="56">
        <v>0</v>
      </c>
      <c r="G6" s="44">
        <v>0</v>
      </c>
    </row>
    <row r="7" spans="1:7" x14ac:dyDescent="0.3">
      <c r="A7" s="70" t="s">
        <v>9</v>
      </c>
      <c r="B7" s="48"/>
      <c r="C7" s="50"/>
      <c r="D7" s="48"/>
      <c r="E7" s="50"/>
      <c r="F7" s="71"/>
      <c r="G7" s="50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13" sqref="C13"/>
    </sheetView>
  </sheetViews>
  <sheetFormatPr defaultRowHeight="14.4" x14ac:dyDescent="0.3"/>
  <cols>
    <col min="1" max="1" width="11" bestFit="1" customWidth="1"/>
    <col min="2" max="2" width="45" customWidth="1"/>
  </cols>
  <sheetData>
    <row r="1" spans="1:4" x14ac:dyDescent="0.3">
      <c r="A1" s="102"/>
      <c r="B1" s="103"/>
      <c r="C1" s="105" t="s">
        <v>0</v>
      </c>
      <c r="D1" s="106"/>
    </row>
    <row r="2" spans="1:4" ht="15" thickBot="1" x14ac:dyDescent="0.35">
      <c r="A2" s="104"/>
      <c r="B2" s="103"/>
      <c r="C2" s="72" t="s">
        <v>3</v>
      </c>
      <c r="D2" s="73" t="s">
        <v>4</v>
      </c>
    </row>
    <row r="3" spans="1:4" ht="15.6" x14ac:dyDescent="0.3">
      <c r="A3" s="77" t="s">
        <v>374</v>
      </c>
      <c r="B3" s="84" t="s">
        <v>144</v>
      </c>
      <c r="C3" s="88">
        <v>33</v>
      </c>
      <c r="D3" s="82">
        <v>5</v>
      </c>
    </row>
    <row r="4" spans="1:4" ht="31.2" x14ac:dyDescent="0.3">
      <c r="A4" s="78" t="s">
        <v>396</v>
      </c>
      <c r="B4" s="85" t="s">
        <v>398</v>
      </c>
      <c r="C4" s="89">
        <v>101</v>
      </c>
      <c r="D4" s="83">
        <v>7</v>
      </c>
    </row>
    <row r="5" spans="1:4" ht="46.8" x14ac:dyDescent="0.3">
      <c r="A5" s="78" t="s">
        <v>402</v>
      </c>
      <c r="B5" s="85" t="s">
        <v>399</v>
      </c>
      <c r="C5" s="89">
        <v>56</v>
      </c>
      <c r="D5" s="83">
        <v>0</v>
      </c>
    </row>
    <row r="6" spans="1:4" ht="46.8" x14ac:dyDescent="0.3">
      <c r="A6" s="78" t="s">
        <v>403</v>
      </c>
      <c r="B6" s="85" t="s">
        <v>400</v>
      </c>
      <c r="C6" s="89">
        <v>46</v>
      </c>
      <c r="D6" s="83">
        <v>2</v>
      </c>
    </row>
    <row r="7" spans="1:4" ht="15.6" x14ac:dyDescent="0.3">
      <c r="A7" s="79" t="s">
        <v>390</v>
      </c>
      <c r="B7" s="86" t="s">
        <v>391</v>
      </c>
      <c r="C7" s="89">
        <v>53</v>
      </c>
      <c r="D7" s="83">
        <v>12</v>
      </c>
    </row>
    <row r="8" spans="1:4" ht="16.2" thickBot="1" x14ac:dyDescent="0.35">
      <c r="A8" s="79" t="s">
        <v>397</v>
      </c>
      <c r="B8" s="85" t="s">
        <v>401</v>
      </c>
      <c r="C8" s="89">
        <v>59</v>
      </c>
      <c r="D8" s="83">
        <v>21</v>
      </c>
    </row>
    <row r="9" spans="1:4" ht="16.2" thickBot="1" x14ac:dyDescent="0.35">
      <c r="A9" s="107" t="s">
        <v>3</v>
      </c>
      <c r="B9" s="108"/>
      <c r="C9" s="90">
        <v>348</v>
      </c>
      <c r="D9" s="91">
        <v>47</v>
      </c>
    </row>
  </sheetData>
  <mergeCells count="3">
    <mergeCell ref="A1:B2"/>
    <mergeCell ref="C1:D1"/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I9" sqref="I9"/>
    </sheetView>
  </sheetViews>
  <sheetFormatPr defaultRowHeight="14.4" x14ac:dyDescent="0.3"/>
  <cols>
    <col min="1" max="1" width="11" bestFit="1" customWidth="1"/>
    <col min="2" max="2" width="45" customWidth="1"/>
    <col min="4" max="4" width="9.6640625" customWidth="1"/>
  </cols>
  <sheetData>
    <row r="1" spans="1:4" ht="15.6" x14ac:dyDescent="0.3">
      <c r="A1" s="109"/>
      <c r="B1" s="110"/>
      <c r="C1" s="112" t="s">
        <v>0</v>
      </c>
      <c r="D1" s="113"/>
    </row>
    <row r="2" spans="1:4" ht="16.2" thickBot="1" x14ac:dyDescent="0.35">
      <c r="A2" s="111"/>
      <c r="B2" s="110"/>
      <c r="C2" s="92" t="s">
        <v>3</v>
      </c>
      <c r="D2" s="93" t="s">
        <v>4</v>
      </c>
    </row>
    <row r="3" spans="1:4" ht="15.6" x14ac:dyDescent="0.3">
      <c r="A3" s="77" t="s">
        <v>374</v>
      </c>
      <c r="B3" s="84" t="s">
        <v>144</v>
      </c>
      <c r="C3" s="94">
        <v>39</v>
      </c>
      <c r="D3" s="82">
        <v>0</v>
      </c>
    </row>
    <row r="4" spans="1:4" ht="15.6" x14ac:dyDescent="0.3">
      <c r="A4" s="78" t="s">
        <v>386</v>
      </c>
      <c r="B4" s="86" t="s">
        <v>387</v>
      </c>
      <c r="C4" s="95">
        <v>7</v>
      </c>
      <c r="D4" s="83">
        <v>0</v>
      </c>
    </row>
    <row r="5" spans="1:4" ht="15.6" x14ac:dyDescent="0.3">
      <c r="A5" s="79" t="s">
        <v>388</v>
      </c>
      <c r="B5" s="86" t="s">
        <v>389</v>
      </c>
      <c r="C5" s="95">
        <v>24</v>
      </c>
      <c r="D5" s="83">
        <v>0</v>
      </c>
    </row>
    <row r="6" spans="1:4" ht="15.6" x14ac:dyDescent="0.3">
      <c r="A6" s="79" t="s">
        <v>390</v>
      </c>
      <c r="B6" s="86" t="s">
        <v>391</v>
      </c>
      <c r="C6" s="95">
        <v>54</v>
      </c>
      <c r="D6" s="83">
        <v>5</v>
      </c>
    </row>
    <row r="7" spans="1:4" ht="31.2" x14ac:dyDescent="0.3">
      <c r="A7" s="79" t="s">
        <v>392</v>
      </c>
      <c r="B7" s="85" t="s">
        <v>393</v>
      </c>
      <c r="C7" s="95">
        <v>23</v>
      </c>
      <c r="D7" s="83">
        <v>0</v>
      </c>
    </row>
    <row r="8" spans="1:4" ht="47.4" thickBot="1" x14ac:dyDescent="0.35">
      <c r="A8" s="79" t="s">
        <v>394</v>
      </c>
      <c r="B8" s="85" t="s">
        <v>395</v>
      </c>
      <c r="C8" s="96">
        <v>103</v>
      </c>
      <c r="D8" s="83">
        <v>8</v>
      </c>
    </row>
    <row r="9" spans="1:4" ht="16.2" thickBot="1" x14ac:dyDescent="0.35">
      <c r="A9" s="107" t="s">
        <v>3</v>
      </c>
      <c r="B9" s="108"/>
      <c r="C9" s="97">
        <v>250</v>
      </c>
      <c r="D9" s="98">
        <v>13</v>
      </c>
    </row>
  </sheetData>
  <mergeCells count="3">
    <mergeCell ref="A1:B2"/>
    <mergeCell ref="C1:D1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4" sqref="B14"/>
    </sheetView>
  </sheetViews>
  <sheetFormatPr defaultRowHeight="14.4" x14ac:dyDescent="0.3"/>
  <cols>
    <col min="1" max="1" width="11" bestFit="1" customWidth="1"/>
    <col min="2" max="2" width="45" customWidth="1"/>
  </cols>
  <sheetData>
    <row r="1" spans="1:4" ht="15.6" x14ac:dyDescent="0.3">
      <c r="A1" s="109"/>
      <c r="B1" s="110"/>
      <c r="C1" s="112" t="s">
        <v>0</v>
      </c>
      <c r="D1" s="113"/>
    </row>
    <row r="2" spans="1:4" ht="16.2" thickBot="1" x14ac:dyDescent="0.35">
      <c r="A2" s="111"/>
      <c r="B2" s="110"/>
      <c r="C2" s="92" t="s">
        <v>3</v>
      </c>
      <c r="D2" s="93" t="s">
        <v>4</v>
      </c>
    </row>
    <row r="3" spans="1:4" ht="15.6" x14ac:dyDescent="0.3">
      <c r="A3" s="77" t="s">
        <v>384</v>
      </c>
      <c r="B3" s="84" t="s">
        <v>372</v>
      </c>
      <c r="C3" s="94">
        <v>19</v>
      </c>
      <c r="D3" s="74">
        <v>0</v>
      </c>
    </row>
    <row r="4" spans="1:4" ht="31.2" x14ac:dyDescent="0.3">
      <c r="A4" s="78" t="s">
        <v>385</v>
      </c>
      <c r="B4" s="85" t="s">
        <v>373</v>
      </c>
      <c r="C4" s="95">
        <v>31</v>
      </c>
      <c r="D4" s="75">
        <v>1</v>
      </c>
    </row>
    <row r="5" spans="1:4" ht="15.6" x14ac:dyDescent="0.3">
      <c r="A5" s="79" t="s">
        <v>374</v>
      </c>
      <c r="B5" s="86" t="s">
        <v>144</v>
      </c>
      <c r="C5" s="95">
        <v>41</v>
      </c>
      <c r="D5" s="75">
        <v>5</v>
      </c>
    </row>
    <row r="6" spans="1:4" ht="15.6" x14ac:dyDescent="0.3">
      <c r="A6" s="79" t="s">
        <v>375</v>
      </c>
      <c r="B6" s="86" t="s">
        <v>376</v>
      </c>
      <c r="C6" s="95">
        <v>68</v>
      </c>
      <c r="D6" s="75">
        <v>30</v>
      </c>
    </row>
    <row r="7" spans="1:4" ht="15.6" x14ac:dyDescent="0.3">
      <c r="A7" s="79" t="s">
        <v>377</v>
      </c>
      <c r="B7" s="86" t="s">
        <v>378</v>
      </c>
      <c r="C7" s="95">
        <v>41</v>
      </c>
      <c r="D7" s="75">
        <v>9</v>
      </c>
    </row>
    <row r="8" spans="1:4" ht="31.2" x14ac:dyDescent="0.3">
      <c r="A8" s="79" t="s">
        <v>379</v>
      </c>
      <c r="B8" s="85" t="s">
        <v>380</v>
      </c>
      <c r="C8" s="96">
        <v>20</v>
      </c>
      <c r="D8" s="75">
        <v>0</v>
      </c>
    </row>
    <row r="9" spans="1:4" ht="15.6" x14ac:dyDescent="0.3">
      <c r="A9" s="79" t="s">
        <v>381</v>
      </c>
      <c r="B9" s="86" t="s">
        <v>193</v>
      </c>
      <c r="C9" s="96">
        <v>66</v>
      </c>
      <c r="D9" s="75">
        <v>66</v>
      </c>
    </row>
    <row r="10" spans="1:4" ht="16.2" thickBot="1" x14ac:dyDescent="0.35">
      <c r="A10" s="80" t="s">
        <v>382</v>
      </c>
      <c r="B10" s="87" t="s">
        <v>383</v>
      </c>
      <c r="C10" s="99">
        <v>28</v>
      </c>
      <c r="D10" s="81">
        <v>4</v>
      </c>
    </row>
    <row r="11" spans="1:4" ht="16.2" thickBot="1" x14ac:dyDescent="0.35">
      <c r="A11" s="107" t="s">
        <v>3</v>
      </c>
      <c r="B11" s="108"/>
      <c r="C11" s="97">
        <v>314</v>
      </c>
      <c r="D11" s="98">
        <v>115</v>
      </c>
    </row>
  </sheetData>
  <mergeCells count="3">
    <mergeCell ref="C1:D1"/>
    <mergeCell ref="A1:B2"/>
    <mergeCell ref="A11:B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SheetLayoutView="100" workbookViewId="0">
      <selection activeCell="F5" sqref="F5"/>
    </sheetView>
  </sheetViews>
  <sheetFormatPr defaultColWidth="8.88671875" defaultRowHeight="14.4" x14ac:dyDescent="0.3"/>
  <cols>
    <col min="1" max="1" width="57.5546875" customWidth="1"/>
    <col min="3" max="3" width="11.5546875" customWidth="1"/>
  </cols>
  <sheetData>
    <row r="1" spans="1:3" x14ac:dyDescent="0.3">
      <c r="A1" s="33"/>
      <c r="B1" s="105" t="s">
        <v>0</v>
      </c>
      <c r="C1" s="106"/>
    </row>
    <row r="2" spans="1:3" x14ac:dyDescent="0.3">
      <c r="A2" s="34"/>
      <c r="B2" s="35" t="s">
        <v>3</v>
      </c>
      <c r="C2" s="36" t="s">
        <v>4</v>
      </c>
    </row>
    <row r="3" spans="1:3" ht="15.6" x14ac:dyDescent="0.3">
      <c r="A3" s="37" t="s">
        <v>10</v>
      </c>
      <c r="B3" s="60">
        <v>25</v>
      </c>
      <c r="C3" s="61">
        <v>6</v>
      </c>
    </row>
    <row r="4" spans="1:3" ht="15.6" x14ac:dyDescent="0.3">
      <c r="A4" s="41" t="s">
        <v>11</v>
      </c>
      <c r="B4" s="62">
        <v>73</v>
      </c>
      <c r="C4" s="63">
        <v>51</v>
      </c>
    </row>
    <row r="5" spans="1:3" ht="15.6" x14ac:dyDescent="0.3">
      <c r="A5" s="41" t="s">
        <v>12</v>
      </c>
      <c r="B5" s="62">
        <v>63</v>
      </c>
      <c r="C5" s="63">
        <v>63</v>
      </c>
    </row>
    <row r="6" spans="1:3" ht="15.6" x14ac:dyDescent="0.3">
      <c r="A6" s="41" t="s">
        <v>13</v>
      </c>
      <c r="B6" s="62">
        <v>8</v>
      </c>
      <c r="C6" s="63">
        <v>8</v>
      </c>
    </row>
    <row r="7" spans="1:3" ht="15.6" x14ac:dyDescent="0.3">
      <c r="A7" s="41" t="s">
        <v>14</v>
      </c>
      <c r="B7" s="62">
        <v>53</v>
      </c>
      <c r="C7" s="63">
        <v>9</v>
      </c>
    </row>
    <row r="8" spans="1:3" ht="15.6" x14ac:dyDescent="0.3">
      <c r="A8" s="41" t="s">
        <v>15</v>
      </c>
      <c r="B8" s="42">
        <v>17</v>
      </c>
      <c r="C8" s="44">
        <v>0</v>
      </c>
    </row>
    <row r="9" spans="1:3" ht="15.6" x14ac:dyDescent="0.3">
      <c r="A9" s="41" t="s">
        <v>16</v>
      </c>
      <c r="B9" s="42">
        <v>48</v>
      </c>
      <c r="C9" s="44">
        <v>48</v>
      </c>
    </row>
    <row r="10" spans="1:3" ht="15.6" x14ac:dyDescent="0.3">
      <c r="A10" s="51" t="s">
        <v>3</v>
      </c>
      <c r="B10" s="52">
        <f>SUM(B3:B9)</f>
        <v>287</v>
      </c>
      <c r="C10" s="53">
        <f>SUM(C3:C9)</f>
        <v>185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SheetLayoutView="100" workbookViewId="0">
      <selection activeCell="D14" sqref="D14"/>
    </sheetView>
  </sheetViews>
  <sheetFormatPr defaultColWidth="8.88671875" defaultRowHeight="14.4" x14ac:dyDescent="0.3"/>
  <cols>
    <col min="1" max="1" width="57.5546875" customWidth="1"/>
    <col min="3" max="3" width="11.5546875" customWidth="1"/>
  </cols>
  <sheetData>
    <row r="1" spans="1:7" x14ac:dyDescent="0.3">
      <c r="A1" s="33"/>
      <c r="B1" s="105" t="s">
        <v>0</v>
      </c>
      <c r="C1" s="106"/>
      <c r="D1" s="105" t="s">
        <v>1</v>
      </c>
      <c r="E1" s="106"/>
      <c r="F1" s="105" t="s">
        <v>2</v>
      </c>
      <c r="G1" s="106"/>
    </row>
    <row r="2" spans="1:7" x14ac:dyDescent="0.3">
      <c r="A2" s="34"/>
      <c r="B2" s="35" t="s">
        <v>3</v>
      </c>
      <c r="C2" s="36" t="s">
        <v>4</v>
      </c>
      <c r="D2" s="35" t="s">
        <v>3</v>
      </c>
      <c r="E2" s="36" t="s">
        <v>4</v>
      </c>
      <c r="F2" s="35" t="s">
        <v>3</v>
      </c>
      <c r="G2" s="36" t="s">
        <v>4</v>
      </c>
    </row>
    <row r="3" spans="1:7" ht="31.2" x14ac:dyDescent="0.3">
      <c r="A3" s="37" t="s">
        <v>17</v>
      </c>
      <c r="B3" s="60">
        <v>17</v>
      </c>
      <c r="C3" s="61">
        <v>2</v>
      </c>
      <c r="D3" s="38">
        <v>26</v>
      </c>
      <c r="E3" s="40">
        <v>12</v>
      </c>
      <c r="F3" s="55">
        <v>0</v>
      </c>
      <c r="G3" s="40">
        <v>0</v>
      </c>
    </row>
    <row r="4" spans="1:7" ht="31.2" x14ac:dyDescent="0.3">
      <c r="A4" s="41" t="s">
        <v>18</v>
      </c>
      <c r="B4" s="62">
        <v>40</v>
      </c>
      <c r="C4" s="63">
        <v>16</v>
      </c>
      <c r="D4" s="42">
        <v>0</v>
      </c>
      <c r="E4" s="44">
        <v>0</v>
      </c>
      <c r="F4" s="56">
        <v>0</v>
      </c>
      <c r="G4" s="44">
        <v>0</v>
      </c>
    </row>
    <row r="5" spans="1:7" ht="31.2" x14ac:dyDescent="0.3">
      <c r="A5" s="41" t="s">
        <v>19</v>
      </c>
      <c r="B5" s="42">
        <v>0</v>
      </c>
      <c r="C5" s="44">
        <v>0</v>
      </c>
      <c r="D5" s="42">
        <v>0</v>
      </c>
      <c r="E5" s="44">
        <v>0</v>
      </c>
      <c r="F5" s="56">
        <v>78</v>
      </c>
      <c r="G5" s="44">
        <v>57</v>
      </c>
    </row>
    <row r="6" spans="1:7" ht="15.6" x14ac:dyDescent="0.3">
      <c r="A6" s="51" t="s">
        <v>3</v>
      </c>
      <c r="B6" s="52">
        <f t="shared" ref="B6:G6" si="0">SUM(B3:B5)</f>
        <v>57</v>
      </c>
      <c r="C6" s="52">
        <f t="shared" si="0"/>
        <v>18</v>
      </c>
      <c r="D6" s="52">
        <f t="shared" si="0"/>
        <v>26</v>
      </c>
      <c r="E6" s="52">
        <f t="shared" si="0"/>
        <v>12</v>
      </c>
      <c r="F6" s="52">
        <f t="shared" si="0"/>
        <v>78</v>
      </c>
      <c r="G6" s="52">
        <f t="shared" si="0"/>
        <v>57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SheetLayoutView="100" workbookViewId="0">
      <selection activeCell="A6" sqref="A6"/>
    </sheetView>
  </sheetViews>
  <sheetFormatPr defaultColWidth="9" defaultRowHeight="14.4" x14ac:dyDescent="0.3"/>
  <cols>
    <col min="1" max="1" width="36" customWidth="1"/>
  </cols>
  <sheetData>
    <row r="1" spans="1:7" s="54" customFormat="1" x14ac:dyDescent="0.3">
      <c r="A1" s="33"/>
      <c r="B1" s="105" t="s">
        <v>0</v>
      </c>
      <c r="C1" s="106"/>
      <c r="D1" s="105" t="s">
        <v>1</v>
      </c>
      <c r="E1" s="106"/>
      <c r="F1" s="105" t="s">
        <v>2</v>
      </c>
      <c r="G1" s="106"/>
    </row>
    <row r="2" spans="1:7" s="54" customFormat="1" x14ac:dyDescent="0.3">
      <c r="A2" s="34"/>
      <c r="B2" s="35" t="s">
        <v>3</v>
      </c>
      <c r="C2" s="36" t="s">
        <v>4</v>
      </c>
      <c r="D2" s="35" t="s">
        <v>3</v>
      </c>
      <c r="E2" s="36" t="s">
        <v>4</v>
      </c>
      <c r="F2" s="35" t="s">
        <v>3</v>
      </c>
      <c r="G2" s="36" t="s">
        <v>4</v>
      </c>
    </row>
    <row r="3" spans="1:7" ht="15.6" x14ac:dyDescent="0.3">
      <c r="A3" s="37" t="s">
        <v>20</v>
      </c>
      <c r="B3" s="38">
        <v>0</v>
      </c>
      <c r="C3" s="40">
        <v>0</v>
      </c>
      <c r="D3" s="38">
        <v>0</v>
      </c>
      <c r="E3" s="40">
        <v>0</v>
      </c>
      <c r="F3" s="55">
        <v>0</v>
      </c>
      <c r="G3" s="40">
        <v>0</v>
      </c>
    </row>
    <row r="4" spans="1:7" ht="15.75" customHeight="1" x14ac:dyDescent="0.3">
      <c r="A4" s="41" t="s">
        <v>21</v>
      </c>
      <c r="B4" s="42">
        <v>243</v>
      </c>
      <c r="C4" s="44">
        <v>31</v>
      </c>
      <c r="D4" s="42">
        <v>65</v>
      </c>
      <c r="E4" s="44">
        <v>2</v>
      </c>
      <c r="F4" s="56">
        <v>0</v>
      </c>
      <c r="G4" s="44">
        <v>0</v>
      </c>
    </row>
    <row r="5" spans="1:7" ht="15.6" x14ac:dyDescent="0.3">
      <c r="A5" s="41" t="s">
        <v>22</v>
      </c>
      <c r="B5" s="42">
        <v>48</v>
      </c>
      <c r="C5" s="44">
        <v>10</v>
      </c>
      <c r="D5" s="42">
        <v>0</v>
      </c>
      <c r="E5" s="44">
        <v>0</v>
      </c>
      <c r="F5" s="56">
        <v>0</v>
      </c>
      <c r="G5" s="44">
        <v>0</v>
      </c>
    </row>
    <row r="6" spans="1:7" ht="15.6" x14ac:dyDescent="0.3">
      <c r="A6" s="41" t="s">
        <v>23</v>
      </c>
      <c r="B6" s="42">
        <v>72</v>
      </c>
      <c r="C6" s="44">
        <v>9</v>
      </c>
      <c r="D6" s="42">
        <v>0</v>
      </c>
      <c r="E6" s="44">
        <v>0</v>
      </c>
      <c r="F6" s="56">
        <v>63</v>
      </c>
      <c r="G6" s="44">
        <v>9</v>
      </c>
    </row>
    <row r="7" spans="1:7" ht="15.6" x14ac:dyDescent="0.3">
      <c r="A7" s="41" t="s">
        <v>24</v>
      </c>
      <c r="B7" s="42">
        <v>102</v>
      </c>
      <c r="C7" s="44">
        <v>12</v>
      </c>
      <c r="D7" s="42">
        <v>91</v>
      </c>
      <c r="E7" s="44">
        <v>10</v>
      </c>
      <c r="F7" s="56">
        <v>0</v>
      </c>
      <c r="G7" s="44">
        <v>0</v>
      </c>
    </row>
    <row r="8" spans="1:7" ht="15.75" customHeight="1" x14ac:dyDescent="0.3">
      <c r="A8" s="41" t="s">
        <v>25</v>
      </c>
      <c r="B8" s="42">
        <v>20</v>
      </c>
      <c r="C8" s="44">
        <v>8</v>
      </c>
      <c r="D8" s="42">
        <v>0</v>
      </c>
      <c r="E8" s="44">
        <v>0</v>
      </c>
      <c r="F8" s="56">
        <v>0</v>
      </c>
      <c r="G8" s="44">
        <v>0</v>
      </c>
    </row>
    <row r="9" spans="1:7" ht="15.75" customHeight="1" x14ac:dyDescent="0.3">
      <c r="A9" s="41" t="s">
        <v>26</v>
      </c>
      <c r="B9" s="42">
        <v>0</v>
      </c>
      <c r="C9" s="44">
        <v>0</v>
      </c>
      <c r="D9" s="42">
        <v>0</v>
      </c>
      <c r="E9" s="44">
        <v>0</v>
      </c>
      <c r="F9" s="56">
        <v>0</v>
      </c>
      <c r="G9" s="44">
        <v>0</v>
      </c>
    </row>
    <row r="10" spans="1:7" ht="15.75" customHeight="1" x14ac:dyDescent="0.3">
      <c r="A10" s="41" t="s">
        <v>27</v>
      </c>
      <c r="B10" s="42">
        <v>33</v>
      </c>
      <c r="C10" s="44">
        <v>2</v>
      </c>
      <c r="D10" s="42">
        <v>0</v>
      </c>
      <c r="E10" s="44">
        <v>0</v>
      </c>
      <c r="F10" s="56">
        <v>0</v>
      </c>
      <c r="G10" s="44">
        <v>0</v>
      </c>
    </row>
    <row r="11" spans="1:7" ht="15.75" customHeight="1" x14ac:dyDescent="0.3">
      <c r="A11" s="45" t="s">
        <v>28</v>
      </c>
      <c r="B11" s="42">
        <v>12</v>
      </c>
      <c r="C11" s="44">
        <v>1</v>
      </c>
      <c r="D11" s="42">
        <v>0</v>
      </c>
      <c r="E11" s="44">
        <v>0</v>
      </c>
      <c r="F11" s="56">
        <v>0</v>
      </c>
      <c r="G11" s="44">
        <v>0</v>
      </c>
    </row>
    <row r="12" spans="1:7" ht="15.75" customHeight="1" x14ac:dyDescent="0.3">
      <c r="A12" s="46" t="s">
        <v>29</v>
      </c>
      <c r="B12" s="42">
        <v>192</v>
      </c>
      <c r="C12" s="44">
        <v>30</v>
      </c>
      <c r="D12" s="42">
        <v>75</v>
      </c>
      <c r="E12" s="44">
        <v>16</v>
      </c>
      <c r="F12" s="56">
        <v>531</v>
      </c>
      <c r="G12" s="44">
        <v>197</v>
      </c>
    </row>
    <row r="13" spans="1:7" ht="15.6" x14ac:dyDescent="0.3">
      <c r="A13" s="46" t="s">
        <v>30</v>
      </c>
      <c r="B13" s="42">
        <v>244</v>
      </c>
      <c r="C13" s="44">
        <v>32</v>
      </c>
      <c r="D13" s="42">
        <v>0</v>
      </c>
      <c r="E13" s="44">
        <v>0</v>
      </c>
      <c r="F13" s="56">
        <v>189</v>
      </c>
      <c r="G13" s="44">
        <v>30</v>
      </c>
    </row>
    <row r="14" spans="1:7" ht="31.2" x14ac:dyDescent="0.3">
      <c r="A14" s="41" t="s">
        <v>31</v>
      </c>
      <c r="B14" s="42">
        <v>161</v>
      </c>
      <c r="C14" s="44">
        <v>8</v>
      </c>
      <c r="D14" s="42">
        <v>0</v>
      </c>
      <c r="E14" s="44">
        <v>0</v>
      </c>
      <c r="F14" s="56">
        <v>212</v>
      </c>
      <c r="G14" s="44">
        <v>28</v>
      </c>
    </row>
    <row r="15" spans="1:7" ht="46.8" x14ac:dyDescent="0.3">
      <c r="A15" s="41" t="s">
        <v>32</v>
      </c>
      <c r="B15" s="42">
        <v>103</v>
      </c>
      <c r="C15" s="44">
        <v>23</v>
      </c>
      <c r="D15" s="42">
        <v>0</v>
      </c>
      <c r="E15" s="44">
        <v>0</v>
      </c>
      <c r="F15" s="56">
        <v>247</v>
      </c>
      <c r="G15" s="44">
        <v>98</v>
      </c>
    </row>
    <row r="16" spans="1:7" ht="31.2" x14ac:dyDescent="0.3">
      <c r="A16" s="41" t="s">
        <v>33</v>
      </c>
      <c r="B16" s="42">
        <v>28</v>
      </c>
      <c r="C16" s="44">
        <v>13</v>
      </c>
      <c r="D16" s="42">
        <v>0</v>
      </c>
      <c r="E16" s="44">
        <v>0</v>
      </c>
      <c r="F16" s="56">
        <v>0</v>
      </c>
      <c r="G16" s="44">
        <v>0</v>
      </c>
    </row>
    <row r="17" spans="1:7" ht="31.2" x14ac:dyDescent="0.3">
      <c r="A17" s="45" t="s">
        <v>34</v>
      </c>
      <c r="B17" s="42">
        <v>30</v>
      </c>
      <c r="C17" s="44">
        <v>6</v>
      </c>
      <c r="D17" s="42">
        <v>0</v>
      </c>
      <c r="E17" s="44">
        <v>0</v>
      </c>
      <c r="F17" s="56">
        <v>0</v>
      </c>
      <c r="G17" s="44">
        <v>0</v>
      </c>
    </row>
    <row r="18" spans="1:7" ht="15.6" x14ac:dyDescent="0.3">
      <c r="A18" s="45" t="s">
        <v>35</v>
      </c>
      <c r="B18" s="42">
        <v>17</v>
      </c>
      <c r="C18" s="44">
        <v>2</v>
      </c>
      <c r="D18" s="42">
        <v>18</v>
      </c>
      <c r="E18" s="44">
        <v>18</v>
      </c>
      <c r="F18" s="56">
        <v>0</v>
      </c>
      <c r="G18" s="44">
        <v>0</v>
      </c>
    </row>
    <row r="19" spans="1:7" ht="31.2" x14ac:dyDescent="0.3">
      <c r="A19" s="46" t="s">
        <v>36</v>
      </c>
      <c r="B19" s="42">
        <v>332</v>
      </c>
      <c r="C19" s="44">
        <v>59</v>
      </c>
      <c r="D19" s="42">
        <v>0</v>
      </c>
      <c r="E19" s="44">
        <v>0</v>
      </c>
      <c r="F19" s="56">
        <v>484</v>
      </c>
      <c r="G19" s="44">
        <v>52</v>
      </c>
    </row>
    <row r="20" spans="1:7" ht="15.6" x14ac:dyDescent="0.3">
      <c r="A20" s="41" t="s">
        <v>37</v>
      </c>
      <c r="B20" s="42">
        <v>174</v>
      </c>
      <c r="C20" s="44">
        <v>23</v>
      </c>
      <c r="D20" s="42">
        <v>159</v>
      </c>
      <c r="E20" s="44">
        <v>41</v>
      </c>
      <c r="F20" s="56">
        <v>0</v>
      </c>
      <c r="G20" s="44">
        <v>0</v>
      </c>
    </row>
    <row r="21" spans="1:7" ht="15.6" x14ac:dyDescent="0.3">
      <c r="A21" s="41" t="s">
        <v>38</v>
      </c>
      <c r="B21" s="42">
        <v>776</v>
      </c>
      <c r="C21" s="44">
        <v>127</v>
      </c>
      <c r="D21" s="42">
        <v>1198</v>
      </c>
      <c r="E21" s="44">
        <v>222</v>
      </c>
      <c r="F21" s="56">
        <v>0</v>
      </c>
      <c r="G21" s="44">
        <v>0</v>
      </c>
    </row>
    <row r="22" spans="1:7" ht="31.2" x14ac:dyDescent="0.3">
      <c r="A22" s="41" t="s">
        <v>39</v>
      </c>
      <c r="B22" s="42">
        <v>97</v>
      </c>
      <c r="C22" s="44">
        <v>13</v>
      </c>
      <c r="D22" s="42">
        <v>0</v>
      </c>
      <c r="E22" s="44">
        <v>0</v>
      </c>
      <c r="F22" s="56">
        <v>238</v>
      </c>
      <c r="G22" s="44">
        <v>68</v>
      </c>
    </row>
    <row r="23" spans="1:7" ht="15.6" x14ac:dyDescent="0.3">
      <c r="A23" s="41" t="s">
        <v>40</v>
      </c>
      <c r="B23" s="42">
        <v>583</v>
      </c>
      <c r="C23" s="44">
        <v>188</v>
      </c>
      <c r="D23" s="42">
        <v>664</v>
      </c>
      <c r="E23" s="44">
        <v>299</v>
      </c>
      <c r="F23" s="56">
        <v>0</v>
      </c>
      <c r="G23" s="44">
        <v>0</v>
      </c>
    </row>
    <row r="24" spans="1:7" ht="31.2" x14ac:dyDescent="0.3">
      <c r="A24" s="41" t="s">
        <v>41</v>
      </c>
      <c r="B24" s="42">
        <v>0</v>
      </c>
      <c r="C24" s="44">
        <v>0</v>
      </c>
      <c r="D24" s="42">
        <v>0</v>
      </c>
      <c r="E24" s="44">
        <v>0</v>
      </c>
      <c r="F24" s="56">
        <v>0</v>
      </c>
      <c r="G24" s="44">
        <v>0</v>
      </c>
    </row>
    <row r="25" spans="1:7" ht="46.8" x14ac:dyDescent="0.3">
      <c r="A25" s="41" t="s">
        <v>42</v>
      </c>
      <c r="B25" s="42">
        <v>56</v>
      </c>
      <c r="C25" s="44">
        <v>15</v>
      </c>
      <c r="D25" s="42">
        <v>0</v>
      </c>
      <c r="E25" s="44">
        <v>0</v>
      </c>
      <c r="F25" s="56">
        <v>0</v>
      </c>
      <c r="G25" s="44">
        <v>0</v>
      </c>
    </row>
    <row r="26" spans="1:7" ht="15.6" x14ac:dyDescent="0.3">
      <c r="A26" s="46" t="s">
        <v>43</v>
      </c>
      <c r="B26" s="42">
        <v>85</v>
      </c>
      <c r="C26" s="44">
        <v>25</v>
      </c>
      <c r="D26" s="42">
        <v>0</v>
      </c>
      <c r="E26" s="44">
        <v>0</v>
      </c>
      <c r="F26" s="56">
        <v>70</v>
      </c>
      <c r="G26" s="44">
        <v>16</v>
      </c>
    </row>
    <row r="27" spans="1:7" ht="31.2" x14ac:dyDescent="0.3">
      <c r="A27" s="46" t="s">
        <v>44</v>
      </c>
      <c r="B27" s="42">
        <v>1418</v>
      </c>
      <c r="C27" s="44">
        <v>121</v>
      </c>
      <c r="D27" s="42">
        <v>0</v>
      </c>
      <c r="E27" s="44">
        <v>0</v>
      </c>
      <c r="F27" s="56">
        <v>1743</v>
      </c>
      <c r="G27" s="44">
        <v>297</v>
      </c>
    </row>
    <row r="28" spans="1:7" ht="31.2" x14ac:dyDescent="0.3">
      <c r="A28" s="41" t="s">
        <v>45</v>
      </c>
      <c r="B28" s="42">
        <v>88</v>
      </c>
      <c r="C28" s="44">
        <v>17</v>
      </c>
      <c r="D28" s="42">
        <v>0</v>
      </c>
      <c r="E28" s="44">
        <v>0</v>
      </c>
      <c r="F28" s="56">
        <v>24</v>
      </c>
      <c r="G28" s="44">
        <v>1</v>
      </c>
    </row>
    <row r="29" spans="1:7" ht="15.6" x14ac:dyDescent="0.3">
      <c r="A29" s="41" t="s">
        <v>46</v>
      </c>
      <c r="B29" s="42">
        <v>50</v>
      </c>
      <c r="C29" s="44">
        <v>6</v>
      </c>
      <c r="D29" s="42">
        <v>0</v>
      </c>
      <c r="E29" s="44">
        <v>0</v>
      </c>
      <c r="F29" s="56">
        <v>9</v>
      </c>
      <c r="G29" s="44">
        <v>0</v>
      </c>
    </row>
    <row r="30" spans="1:7" ht="31.2" x14ac:dyDescent="0.3">
      <c r="A30" s="41" t="s">
        <v>47</v>
      </c>
      <c r="B30" s="42">
        <v>21</v>
      </c>
      <c r="C30" s="44">
        <v>1</v>
      </c>
      <c r="D30" s="42">
        <v>0</v>
      </c>
      <c r="E30" s="44">
        <v>0</v>
      </c>
      <c r="F30" s="56">
        <v>14</v>
      </c>
      <c r="G30" s="44">
        <v>2</v>
      </c>
    </row>
    <row r="31" spans="1:7" ht="31.2" x14ac:dyDescent="0.3">
      <c r="A31" s="41" t="s">
        <v>48</v>
      </c>
      <c r="B31" s="42">
        <v>13</v>
      </c>
      <c r="C31" s="44">
        <v>1</v>
      </c>
      <c r="D31" s="42">
        <v>0</v>
      </c>
      <c r="E31" s="44">
        <v>0</v>
      </c>
      <c r="F31" s="56">
        <v>0</v>
      </c>
      <c r="G31" s="44">
        <v>0</v>
      </c>
    </row>
    <row r="32" spans="1:7" ht="31.2" x14ac:dyDescent="0.3">
      <c r="A32" s="45" t="s">
        <v>49</v>
      </c>
      <c r="B32" s="42">
        <v>38</v>
      </c>
      <c r="C32" s="44">
        <v>1</v>
      </c>
      <c r="D32" s="42">
        <v>0</v>
      </c>
      <c r="E32" s="44">
        <v>0</v>
      </c>
      <c r="F32" s="56">
        <v>9</v>
      </c>
      <c r="G32" s="44">
        <v>0</v>
      </c>
    </row>
    <row r="33" spans="1:7" ht="31.2" x14ac:dyDescent="0.3">
      <c r="A33" s="45" t="s">
        <v>50</v>
      </c>
      <c r="B33" s="42">
        <v>21</v>
      </c>
      <c r="C33" s="44">
        <v>9</v>
      </c>
      <c r="D33" s="42">
        <v>0</v>
      </c>
      <c r="E33" s="44">
        <v>0</v>
      </c>
      <c r="F33" s="56">
        <v>0</v>
      </c>
      <c r="G33" s="44">
        <v>0</v>
      </c>
    </row>
    <row r="34" spans="1:7" ht="15.6" x14ac:dyDescent="0.3">
      <c r="A34" s="41" t="s">
        <v>51</v>
      </c>
      <c r="B34" s="57">
        <v>0</v>
      </c>
      <c r="C34" s="58">
        <v>0</v>
      </c>
      <c r="D34" s="48">
        <v>0</v>
      </c>
      <c r="E34" s="50">
        <v>0</v>
      </c>
      <c r="F34" s="59">
        <v>0</v>
      </c>
      <c r="G34" s="58">
        <v>0</v>
      </c>
    </row>
    <row r="35" spans="1:7" ht="15.6" x14ac:dyDescent="0.3">
      <c r="A35" s="51" t="s">
        <v>3</v>
      </c>
      <c r="B35" s="52">
        <f>SUM(B3:B34)</f>
        <v>5057</v>
      </c>
      <c r="C35" s="53">
        <f t="shared" ref="C35:G35" si="0">SUM(C3:C34)</f>
        <v>793</v>
      </c>
      <c r="D35" s="52">
        <f t="shared" si="0"/>
        <v>2270</v>
      </c>
      <c r="E35" s="53">
        <f t="shared" si="0"/>
        <v>608</v>
      </c>
      <c r="F35" s="52">
        <f t="shared" si="0"/>
        <v>3833</v>
      </c>
      <c r="G35" s="53">
        <f t="shared" si="0"/>
        <v>798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27" zoomScaleSheetLayoutView="100" workbookViewId="0">
      <selection activeCell="A35" sqref="A35:G35"/>
    </sheetView>
  </sheetViews>
  <sheetFormatPr defaultColWidth="9" defaultRowHeight="14.4" x14ac:dyDescent="0.3"/>
  <cols>
    <col min="1" max="1" width="36" customWidth="1"/>
  </cols>
  <sheetData>
    <row r="1" spans="1:7" x14ac:dyDescent="0.3">
      <c r="A1" s="33"/>
      <c r="B1" s="105" t="s">
        <v>0</v>
      </c>
      <c r="C1" s="106"/>
      <c r="D1" s="105" t="s">
        <v>1</v>
      </c>
      <c r="E1" s="106"/>
      <c r="F1" s="105" t="s">
        <v>2</v>
      </c>
      <c r="G1" s="106"/>
    </row>
    <row r="2" spans="1:7" x14ac:dyDescent="0.3">
      <c r="A2" s="34"/>
      <c r="B2" s="35" t="s">
        <v>3</v>
      </c>
      <c r="C2" s="36" t="s">
        <v>4</v>
      </c>
      <c r="D2" s="35" t="s">
        <v>3</v>
      </c>
      <c r="E2" s="36" t="s">
        <v>4</v>
      </c>
      <c r="F2" s="35" t="s">
        <v>3</v>
      </c>
      <c r="G2" s="36" t="s">
        <v>4</v>
      </c>
    </row>
    <row r="3" spans="1:7" ht="15.6" x14ac:dyDescent="0.3">
      <c r="A3" s="37" t="s">
        <v>20</v>
      </c>
      <c r="B3" s="38">
        <v>0</v>
      </c>
      <c r="C3" s="39">
        <v>0</v>
      </c>
      <c r="D3" s="39">
        <v>0</v>
      </c>
      <c r="E3" s="39">
        <v>0</v>
      </c>
      <c r="F3" s="39">
        <v>0</v>
      </c>
      <c r="G3" s="40">
        <v>0</v>
      </c>
    </row>
    <row r="4" spans="1:7" ht="15.75" customHeight="1" x14ac:dyDescent="0.3">
      <c r="A4" s="41" t="s">
        <v>21</v>
      </c>
      <c r="B4" s="42">
        <v>0</v>
      </c>
      <c r="C4" s="43">
        <v>0</v>
      </c>
      <c r="D4" s="43">
        <v>0</v>
      </c>
      <c r="E4" s="43">
        <v>0</v>
      </c>
      <c r="F4" s="43">
        <v>0</v>
      </c>
      <c r="G4" s="44">
        <v>0</v>
      </c>
    </row>
    <row r="5" spans="1:7" ht="15.6" x14ac:dyDescent="0.3">
      <c r="A5" s="41" t="s">
        <v>22</v>
      </c>
      <c r="B5" s="42">
        <v>0</v>
      </c>
      <c r="C5" s="43">
        <v>0</v>
      </c>
      <c r="D5" s="43">
        <v>0</v>
      </c>
      <c r="E5" s="43">
        <v>0</v>
      </c>
      <c r="F5" s="43">
        <v>0</v>
      </c>
      <c r="G5" s="44">
        <v>0</v>
      </c>
    </row>
    <row r="6" spans="1:7" ht="15.6" x14ac:dyDescent="0.3">
      <c r="A6" s="41" t="s">
        <v>23</v>
      </c>
      <c r="B6" s="42">
        <v>0</v>
      </c>
      <c r="C6" s="43">
        <v>0</v>
      </c>
      <c r="D6" s="43">
        <v>0</v>
      </c>
      <c r="E6" s="43">
        <v>0</v>
      </c>
      <c r="F6" s="43">
        <v>0</v>
      </c>
      <c r="G6" s="44">
        <v>0</v>
      </c>
    </row>
    <row r="7" spans="1:7" ht="15.6" x14ac:dyDescent="0.3">
      <c r="A7" s="41" t="s">
        <v>24</v>
      </c>
      <c r="B7" s="42">
        <v>0</v>
      </c>
      <c r="C7" s="43">
        <v>0</v>
      </c>
      <c r="D7" s="43">
        <v>0</v>
      </c>
      <c r="E7" s="43">
        <v>0</v>
      </c>
      <c r="F7" s="43">
        <v>0</v>
      </c>
      <c r="G7" s="44">
        <v>0</v>
      </c>
    </row>
    <row r="8" spans="1:7" ht="15.75" customHeight="1" x14ac:dyDescent="0.3">
      <c r="A8" s="41" t="s">
        <v>25</v>
      </c>
      <c r="B8" s="42">
        <v>0</v>
      </c>
      <c r="C8" s="43">
        <v>0</v>
      </c>
      <c r="D8" s="43">
        <v>0</v>
      </c>
      <c r="E8" s="43">
        <v>0</v>
      </c>
      <c r="F8" s="43">
        <v>0</v>
      </c>
      <c r="G8" s="44">
        <v>0</v>
      </c>
    </row>
    <row r="9" spans="1:7" ht="15.75" customHeight="1" x14ac:dyDescent="0.3">
      <c r="A9" s="41" t="s">
        <v>26</v>
      </c>
      <c r="B9" s="42">
        <v>0</v>
      </c>
      <c r="C9" s="43">
        <v>0</v>
      </c>
      <c r="D9" s="43">
        <v>0</v>
      </c>
      <c r="E9" s="43">
        <v>0</v>
      </c>
      <c r="F9" s="43">
        <v>0</v>
      </c>
      <c r="G9" s="44">
        <v>0</v>
      </c>
    </row>
    <row r="10" spans="1:7" ht="15.75" customHeight="1" x14ac:dyDescent="0.3">
      <c r="A10" s="41" t="s">
        <v>27</v>
      </c>
      <c r="B10" s="42">
        <v>0</v>
      </c>
      <c r="C10" s="43">
        <v>0</v>
      </c>
      <c r="D10" s="43">
        <v>0</v>
      </c>
      <c r="E10" s="43">
        <v>0</v>
      </c>
      <c r="F10" s="43">
        <v>0</v>
      </c>
      <c r="G10" s="44">
        <v>0</v>
      </c>
    </row>
    <row r="11" spans="1:7" ht="15.75" customHeight="1" x14ac:dyDescent="0.3">
      <c r="A11" s="45" t="s">
        <v>28</v>
      </c>
      <c r="B11" s="42">
        <v>0</v>
      </c>
      <c r="C11" s="43">
        <v>0</v>
      </c>
      <c r="D11" s="43">
        <v>0</v>
      </c>
      <c r="E11" s="43">
        <v>0</v>
      </c>
      <c r="F11" s="43">
        <v>0</v>
      </c>
      <c r="G11" s="44">
        <v>0</v>
      </c>
    </row>
    <row r="12" spans="1:7" ht="15.75" customHeight="1" x14ac:dyDescent="0.3">
      <c r="A12" s="46" t="s">
        <v>29</v>
      </c>
      <c r="B12" s="42">
        <v>0</v>
      </c>
      <c r="C12" s="43">
        <v>0</v>
      </c>
      <c r="D12" s="43">
        <v>0</v>
      </c>
      <c r="E12" s="43">
        <v>0</v>
      </c>
      <c r="F12" s="43">
        <v>0</v>
      </c>
      <c r="G12" s="44">
        <v>0</v>
      </c>
    </row>
    <row r="13" spans="1:7" ht="15.6" x14ac:dyDescent="0.3">
      <c r="A13" s="46" t="s">
        <v>30</v>
      </c>
      <c r="B13" s="42">
        <v>0</v>
      </c>
      <c r="C13" s="43">
        <v>0</v>
      </c>
      <c r="D13" s="43">
        <v>0</v>
      </c>
      <c r="E13" s="43">
        <v>0</v>
      </c>
      <c r="F13" s="43">
        <v>0</v>
      </c>
      <c r="G13" s="44">
        <v>0</v>
      </c>
    </row>
    <row r="14" spans="1:7" ht="31.2" x14ac:dyDescent="0.3">
      <c r="A14" s="41" t="s">
        <v>31</v>
      </c>
      <c r="B14" s="42">
        <v>0</v>
      </c>
      <c r="C14" s="43">
        <v>0</v>
      </c>
      <c r="D14" s="43">
        <v>0</v>
      </c>
      <c r="E14" s="43">
        <v>0</v>
      </c>
      <c r="F14" s="43">
        <v>0</v>
      </c>
      <c r="G14" s="44">
        <v>0</v>
      </c>
    </row>
    <row r="15" spans="1:7" ht="46.8" x14ac:dyDescent="0.3">
      <c r="A15" s="41" t="s">
        <v>32</v>
      </c>
      <c r="B15" s="42">
        <v>0</v>
      </c>
      <c r="C15" s="43">
        <v>0</v>
      </c>
      <c r="D15" s="43">
        <v>0</v>
      </c>
      <c r="E15" s="43">
        <v>0</v>
      </c>
      <c r="F15" s="43">
        <v>0</v>
      </c>
      <c r="G15" s="44">
        <v>0</v>
      </c>
    </row>
    <row r="16" spans="1:7" ht="31.2" x14ac:dyDescent="0.3">
      <c r="A16" s="41" t="s">
        <v>33</v>
      </c>
      <c r="B16" s="42">
        <v>0</v>
      </c>
      <c r="C16" s="43">
        <v>0</v>
      </c>
      <c r="D16" s="43">
        <v>0</v>
      </c>
      <c r="E16" s="43">
        <v>0</v>
      </c>
      <c r="F16" s="43">
        <v>0</v>
      </c>
      <c r="G16" s="44">
        <v>0</v>
      </c>
    </row>
    <row r="17" spans="1:7" ht="31.2" x14ac:dyDescent="0.3">
      <c r="A17" s="45" t="s">
        <v>34</v>
      </c>
      <c r="B17" s="42">
        <v>0</v>
      </c>
      <c r="C17" s="43">
        <v>0</v>
      </c>
      <c r="D17" s="43">
        <v>0</v>
      </c>
      <c r="E17" s="43">
        <v>0</v>
      </c>
      <c r="F17" s="43">
        <v>0</v>
      </c>
      <c r="G17" s="44">
        <v>0</v>
      </c>
    </row>
    <row r="18" spans="1:7" ht="15.6" x14ac:dyDescent="0.3">
      <c r="A18" s="45" t="s">
        <v>35</v>
      </c>
      <c r="B18" s="42">
        <v>0</v>
      </c>
      <c r="C18" s="43">
        <v>0</v>
      </c>
      <c r="D18" s="43">
        <v>0</v>
      </c>
      <c r="E18" s="43">
        <v>0</v>
      </c>
      <c r="F18" s="43">
        <v>0</v>
      </c>
      <c r="G18" s="44">
        <v>0</v>
      </c>
    </row>
    <row r="19" spans="1:7" ht="31.2" x14ac:dyDescent="0.3">
      <c r="A19" s="46" t="s">
        <v>36</v>
      </c>
      <c r="B19" s="42">
        <v>0</v>
      </c>
      <c r="C19" s="43">
        <v>0</v>
      </c>
      <c r="D19" s="43">
        <v>0</v>
      </c>
      <c r="E19" s="43">
        <v>0</v>
      </c>
      <c r="F19" s="43">
        <v>0</v>
      </c>
      <c r="G19" s="44">
        <v>0</v>
      </c>
    </row>
    <row r="20" spans="1:7" ht="15.6" x14ac:dyDescent="0.3">
      <c r="A20" s="41" t="s">
        <v>37</v>
      </c>
      <c r="B20" s="42">
        <v>0</v>
      </c>
      <c r="C20" s="43">
        <v>0</v>
      </c>
      <c r="D20" s="43">
        <v>0</v>
      </c>
      <c r="E20" s="43">
        <v>0</v>
      </c>
      <c r="F20" s="43">
        <v>0</v>
      </c>
      <c r="G20" s="44">
        <v>0</v>
      </c>
    </row>
    <row r="21" spans="1:7" ht="15.6" x14ac:dyDescent="0.3">
      <c r="A21" s="41" t="s">
        <v>38</v>
      </c>
      <c r="B21" s="42">
        <v>85</v>
      </c>
      <c r="C21" s="43">
        <v>16</v>
      </c>
      <c r="D21" s="43">
        <v>0</v>
      </c>
      <c r="E21" s="43">
        <v>0</v>
      </c>
      <c r="F21" s="43">
        <v>176</v>
      </c>
      <c r="G21" s="44">
        <v>0</v>
      </c>
    </row>
    <row r="22" spans="1:7" ht="31.2" x14ac:dyDescent="0.3">
      <c r="A22" s="41" t="s">
        <v>39</v>
      </c>
      <c r="B22" s="42">
        <v>0</v>
      </c>
      <c r="C22" s="43">
        <v>0</v>
      </c>
      <c r="D22" s="43">
        <v>0</v>
      </c>
      <c r="E22" s="43">
        <v>0</v>
      </c>
      <c r="F22" s="43">
        <v>0</v>
      </c>
      <c r="G22" s="44">
        <v>0</v>
      </c>
    </row>
    <row r="23" spans="1:7" ht="15.6" x14ac:dyDescent="0.3">
      <c r="A23" s="41" t="s">
        <v>40</v>
      </c>
      <c r="B23" s="42">
        <v>252</v>
      </c>
      <c r="C23" s="43">
        <v>125</v>
      </c>
      <c r="D23" s="43">
        <v>0</v>
      </c>
      <c r="E23" s="43">
        <v>0</v>
      </c>
      <c r="F23" s="43">
        <v>61</v>
      </c>
      <c r="G23" s="44">
        <v>36</v>
      </c>
    </row>
    <row r="24" spans="1:7" ht="31.2" x14ac:dyDescent="0.3">
      <c r="A24" s="41" t="s">
        <v>41</v>
      </c>
      <c r="B24" s="42">
        <v>0</v>
      </c>
      <c r="C24" s="43">
        <v>0</v>
      </c>
      <c r="D24" s="43">
        <v>0</v>
      </c>
      <c r="E24" s="43">
        <v>0</v>
      </c>
      <c r="F24" s="43">
        <v>0</v>
      </c>
      <c r="G24" s="44">
        <v>0</v>
      </c>
    </row>
    <row r="25" spans="1:7" ht="46.8" x14ac:dyDescent="0.3">
      <c r="A25" s="41" t="s">
        <v>42</v>
      </c>
      <c r="B25" s="42">
        <v>0</v>
      </c>
      <c r="C25" s="43">
        <v>0</v>
      </c>
      <c r="D25" s="43">
        <v>0</v>
      </c>
      <c r="E25" s="43">
        <v>0</v>
      </c>
      <c r="F25" s="43">
        <v>0</v>
      </c>
      <c r="G25" s="44">
        <v>0</v>
      </c>
    </row>
    <row r="26" spans="1:7" ht="15.6" x14ac:dyDescent="0.3">
      <c r="A26" s="46" t="s">
        <v>43</v>
      </c>
      <c r="B26" s="42">
        <v>0</v>
      </c>
      <c r="C26" s="43">
        <v>0</v>
      </c>
      <c r="D26" s="43">
        <v>0</v>
      </c>
      <c r="E26" s="43">
        <v>0</v>
      </c>
      <c r="F26" s="43">
        <v>0</v>
      </c>
      <c r="G26" s="44">
        <v>0</v>
      </c>
    </row>
    <row r="27" spans="1:7" ht="31.2" x14ac:dyDescent="0.3">
      <c r="A27" s="46" t="s">
        <v>44</v>
      </c>
      <c r="B27" s="42">
        <v>0</v>
      </c>
      <c r="C27" s="43">
        <v>0</v>
      </c>
      <c r="D27" s="43">
        <v>0</v>
      </c>
      <c r="E27" s="43">
        <v>0</v>
      </c>
      <c r="F27" s="43">
        <v>0</v>
      </c>
      <c r="G27" s="44">
        <v>0</v>
      </c>
    </row>
    <row r="28" spans="1:7" ht="31.2" x14ac:dyDescent="0.3">
      <c r="A28" s="41" t="s">
        <v>45</v>
      </c>
      <c r="B28" s="42">
        <v>0</v>
      </c>
      <c r="C28" s="43">
        <v>0</v>
      </c>
      <c r="D28" s="43">
        <v>0</v>
      </c>
      <c r="E28" s="43">
        <v>0</v>
      </c>
      <c r="F28" s="43">
        <v>0</v>
      </c>
      <c r="G28" s="44">
        <v>0</v>
      </c>
    </row>
    <row r="29" spans="1:7" ht="15.6" x14ac:dyDescent="0.3">
      <c r="A29" s="41" t="s">
        <v>46</v>
      </c>
      <c r="B29" s="42">
        <v>0</v>
      </c>
      <c r="C29" s="43">
        <v>0</v>
      </c>
      <c r="D29" s="43">
        <v>0</v>
      </c>
      <c r="E29" s="43">
        <v>0</v>
      </c>
      <c r="F29" s="43">
        <v>0</v>
      </c>
      <c r="G29" s="44">
        <v>0</v>
      </c>
    </row>
    <row r="30" spans="1:7" ht="31.2" x14ac:dyDescent="0.3">
      <c r="A30" s="41" t="s">
        <v>47</v>
      </c>
      <c r="B30" s="42">
        <v>0</v>
      </c>
      <c r="C30" s="43">
        <v>0</v>
      </c>
      <c r="D30" s="43">
        <v>0</v>
      </c>
      <c r="E30" s="43">
        <v>0</v>
      </c>
      <c r="F30" s="43">
        <v>0</v>
      </c>
      <c r="G30" s="44">
        <v>0</v>
      </c>
    </row>
    <row r="31" spans="1:7" ht="31.2" x14ac:dyDescent="0.3">
      <c r="A31" s="41" t="s">
        <v>48</v>
      </c>
      <c r="B31" s="42">
        <v>0</v>
      </c>
      <c r="C31" s="43">
        <v>0</v>
      </c>
      <c r="D31" s="43">
        <v>0</v>
      </c>
      <c r="E31" s="43">
        <v>0</v>
      </c>
      <c r="F31" s="43">
        <v>0</v>
      </c>
      <c r="G31" s="44">
        <v>0</v>
      </c>
    </row>
    <row r="32" spans="1:7" ht="31.2" x14ac:dyDescent="0.3">
      <c r="A32" s="45" t="s">
        <v>49</v>
      </c>
      <c r="B32" s="42">
        <v>0</v>
      </c>
      <c r="C32" s="43">
        <v>0</v>
      </c>
      <c r="D32" s="43">
        <v>0</v>
      </c>
      <c r="E32" s="43">
        <v>0</v>
      </c>
      <c r="F32" s="43">
        <v>0</v>
      </c>
      <c r="G32" s="44">
        <v>0</v>
      </c>
    </row>
    <row r="33" spans="1:7" ht="31.2" x14ac:dyDescent="0.3">
      <c r="A33" s="45" t="s">
        <v>50</v>
      </c>
      <c r="B33" s="42">
        <v>0</v>
      </c>
      <c r="C33" s="43">
        <v>0</v>
      </c>
      <c r="D33" s="43">
        <v>0</v>
      </c>
      <c r="E33" s="43">
        <v>0</v>
      </c>
      <c r="F33" s="43">
        <v>0</v>
      </c>
      <c r="G33" s="44">
        <v>0</v>
      </c>
    </row>
    <row r="34" spans="1:7" ht="15.6" x14ac:dyDescent="0.3">
      <c r="A34" s="47" t="s">
        <v>51</v>
      </c>
      <c r="B34" s="48">
        <v>14</v>
      </c>
      <c r="C34" s="49">
        <v>3</v>
      </c>
      <c r="D34" s="49">
        <v>0</v>
      </c>
      <c r="E34" s="49">
        <v>0</v>
      </c>
      <c r="F34" s="49">
        <v>0</v>
      </c>
      <c r="G34" s="50">
        <v>0</v>
      </c>
    </row>
    <row r="35" spans="1:7" ht="15.6" x14ac:dyDescent="0.3">
      <c r="A35" s="51" t="s">
        <v>3</v>
      </c>
      <c r="B35" s="52">
        <f>SUM(B3:B34)</f>
        <v>351</v>
      </c>
      <c r="C35" s="53">
        <f t="shared" ref="C35:G35" si="0">SUM(C3:C34)</f>
        <v>144</v>
      </c>
      <c r="D35" s="52">
        <f t="shared" si="0"/>
        <v>0</v>
      </c>
      <c r="E35" s="53">
        <f t="shared" si="0"/>
        <v>0</v>
      </c>
      <c r="F35" s="52">
        <f t="shared" si="0"/>
        <v>237</v>
      </c>
      <c r="G35" s="53">
        <f t="shared" si="0"/>
        <v>36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28" zoomScaleSheetLayoutView="100" workbookViewId="0">
      <selection activeCell="A35" sqref="A35"/>
    </sheetView>
  </sheetViews>
  <sheetFormatPr defaultColWidth="9" defaultRowHeight="14.4" x14ac:dyDescent="0.3"/>
  <cols>
    <col min="1" max="1" width="36" customWidth="1"/>
  </cols>
  <sheetData>
    <row r="1" spans="1:7" x14ac:dyDescent="0.3">
      <c r="A1" s="33"/>
      <c r="B1" s="105" t="s">
        <v>0</v>
      </c>
      <c r="C1" s="106"/>
      <c r="D1" s="105" t="s">
        <v>1</v>
      </c>
      <c r="E1" s="106"/>
      <c r="F1" s="105" t="s">
        <v>2</v>
      </c>
      <c r="G1" s="106"/>
    </row>
    <row r="2" spans="1:7" x14ac:dyDescent="0.3">
      <c r="A2" s="34"/>
      <c r="B2" s="35" t="s">
        <v>3</v>
      </c>
      <c r="C2" s="36" t="s">
        <v>4</v>
      </c>
      <c r="D2" s="35" t="s">
        <v>3</v>
      </c>
      <c r="E2" s="36" t="s">
        <v>4</v>
      </c>
      <c r="F2" s="35" t="s">
        <v>3</v>
      </c>
      <c r="G2" s="36" t="s">
        <v>4</v>
      </c>
    </row>
    <row r="3" spans="1:7" ht="15.6" x14ac:dyDescent="0.3">
      <c r="A3" s="37" t="s">
        <v>20</v>
      </c>
      <c r="B3" s="38">
        <v>0</v>
      </c>
      <c r="C3" s="39">
        <v>0</v>
      </c>
      <c r="D3" s="39">
        <v>0</v>
      </c>
      <c r="E3" s="39">
        <v>0</v>
      </c>
      <c r="F3" s="39">
        <v>0</v>
      </c>
      <c r="G3" s="40">
        <v>0</v>
      </c>
    </row>
    <row r="4" spans="1:7" ht="15.75" customHeight="1" x14ac:dyDescent="0.3">
      <c r="A4" s="41" t="s">
        <v>21</v>
      </c>
      <c r="B4" s="42">
        <v>37</v>
      </c>
      <c r="C4" s="43">
        <v>2</v>
      </c>
      <c r="D4" s="43">
        <v>11</v>
      </c>
      <c r="E4" s="43">
        <v>2</v>
      </c>
      <c r="F4" s="43">
        <v>0</v>
      </c>
      <c r="G4" s="44">
        <v>0</v>
      </c>
    </row>
    <row r="5" spans="1:7" ht="15.6" x14ac:dyDescent="0.3">
      <c r="A5" s="41" t="s">
        <v>22</v>
      </c>
      <c r="B5" s="42">
        <v>25</v>
      </c>
      <c r="C5" s="43">
        <v>1</v>
      </c>
      <c r="D5" s="43">
        <v>0</v>
      </c>
      <c r="E5" s="43">
        <v>0</v>
      </c>
      <c r="F5" s="43">
        <v>0</v>
      </c>
      <c r="G5" s="44">
        <v>0</v>
      </c>
    </row>
    <row r="6" spans="1:7" ht="15.6" x14ac:dyDescent="0.3">
      <c r="A6" s="41" t="s">
        <v>23</v>
      </c>
      <c r="B6" s="42">
        <v>28</v>
      </c>
      <c r="C6" s="43">
        <v>0</v>
      </c>
      <c r="D6" s="43">
        <v>0</v>
      </c>
      <c r="E6" s="43">
        <v>0</v>
      </c>
      <c r="F6" s="43">
        <v>9</v>
      </c>
      <c r="G6" s="44">
        <v>0</v>
      </c>
    </row>
    <row r="7" spans="1:7" ht="15.6" x14ac:dyDescent="0.3">
      <c r="A7" s="41" t="s">
        <v>24</v>
      </c>
      <c r="B7" s="42">
        <v>27</v>
      </c>
      <c r="C7" s="43">
        <v>6</v>
      </c>
      <c r="D7" s="43">
        <v>15</v>
      </c>
      <c r="E7" s="43">
        <v>15</v>
      </c>
      <c r="F7" s="43">
        <v>0</v>
      </c>
      <c r="G7" s="44">
        <v>0</v>
      </c>
    </row>
    <row r="8" spans="1:7" ht="15.75" customHeight="1" x14ac:dyDescent="0.3">
      <c r="A8" s="41" t="s">
        <v>25</v>
      </c>
      <c r="B8" s="42">
        <v>0</v>
      </c>
      <c r="C8" s="43">
        <v>0</v>
      </c>
      <c r="D8" s="43">
        <v>0</v>
      </c>
      <c r="E8" s="43">
        <v>0</v>
      </c>
      <c r="F8" s="43">
        <v>0</v>
      </c>
      <c r="G8" s="44">
        <v>0</v>
      </c>
    </row>
    <row r="9" spans="1:7" ht="15.75" customHeight="1" x14ac:dyDescent="0.3">
      <c r="A9" s="41" t="s">
        <v>26</v>
      </c>
      <c r="B9" s="42">
        <v>0</v>
      </c>
      <c r="C9" s="43">
        <v>0</v>
      </c>
      <c r="D9" s="43">
        <v>0</v>
      </c>
      <c r="E9" s="43">
        <v>0</v>
      </c>
      <c r="F9" s="43">
        <v>0</v>
      </c>
      <c r="G9" s="44">
        <v>0</v>
      </c>
    </row>
    <row r="10" spans="1:7" ht="15.75" customHeight="1" x14ac:dyDescent="0.3">
      <c r="A10" s="41" t="s">
        <v>27</v>
      </c>
      <c r="B10" s="42">
        <v>35</v>
      </c>
      <c r="C10" s="43">
        <v>5</v>
      </c>
      <c r="D10" s="43">
        <v>22</v>
      </c>
      <c r="E10" s="43">
        <v>4</v>
      </c>
      <c r="F10" s="43">
        <v>0</v>
      </c>
      <c r="G10" s="44">
        <v>0</v>
      </c>
    </row>
    <row r="11" spans="1:7" ht="15.75" customHeight="1" x14ac:dyDescent="0.3">
      <c r="A11" s="45" t="s">
        <v>28</v>
      </c>
      <c r="B11" s="42">
        <v>0</v>
      </c>
      <c r="C11" s="43">
        <v>0</v>
      </c>
      <c r="D11" s="43">
        <v>0</v>
      </c>
      <c r="E11" s="43">
        <v>0</v>
      </c>
      <c r="F11" s="43">
        <v>0</v>
      </c>
      <c r="G11" s="44">
        <v>0</v>
      </c>
    </row>
    <row r="12" spans="1:7" ht="15.75" customHeight="1" x14ac:dyDescent="0.3">
      <c r="A12" s="46" t="s">
        <v>29</v>
      </c>
      <c r="B12" s="42">
        <v>36</v>
      </c>
      <c r="C12" s="43">
        <v>0</v>
      </c>
      <c r="D12" s="43">
        <v>0</v>
      </c>
      <c r="E12" s="43">
        <v>0</v>
      </c>
      <c r="F12" s="43">
        <v>112</v>
      </c>
      <c r="G12" s="44">
        <v>73</v>
      </c>
    </row>
    <row r="13" spans="1:7" ht="15.6" x14ac:dyDescent="0.3">
      <c r="A13" s="46" t="s">
        <v>30</v>
      </c>
      <c r="B13" s="42">
        <v>70</v>
      </c>
      <c r="C13" s="43">
        <v>1</v>
      </c>
      <c r="D13" s="43">
        <v>0</v>
      </c>
      <c r="E13" s="43">
        <v>0</v>
      </c>
      <c r="F13" s="43">
        <v>30</v>
      </c>
      <c r="G13" s="44">
        <v>1</v>
      </c>
    </row>
    <row r="14" spans="1:7" ht="31.2" x14ac:dyDescent="0.3">
      <c r="A14" s="41" t="s">
        <v>31</v>
      </c>
      <c r="B14" s="42">
        <v>70</v>
      </c>
      <c r="C14" s="43">
        <v>1</v>
      </c>
      <c r="D14" s="43">
        <v>0</v>
      </c>
      <c r="E14" s="43">
        <v>0</v>
      </c>
      <c r="F14" s="43">
        <v>37</v>
      </c>
      <c r="G14" s="44">
        <v>3</v>
      </c>
    </row>
    <row r="15" spans="1:7" ht="46.8" x14ac:dyDescent="0.3">
      <c r="A15" s="41" t="s">
        <v>32</v>
      </c>
      <c r="B15" s="42">
        <v>28</v>
      </c>
      <c r="C15" s="43">
        <v>4</v>
      </c>
      <c r="D15" s="43">
        <v>0</v>
      </c>
      <c r="E15" s="43">
        <v>0</v>
      </c>
      <c r="F15" s="43">
        <v>55</v>
      </c>
      <c r="G15" s="44">
        <v>28</v>
      </c>
    </row>
    <row r="16" spans="1:7" ht="31.2" x14ac:dyDescent="0.3">
      <c r="A16" s="41" t="s">
        <v>33</v>
      </c>
      <c r="B16" s="42">
        <v>0</v>
      </c>
      <c r="C16" s="43">
        <v>0</v>
      </c>
      <c r="D16" s="43">
        <v>0</v>
      </c>
      <c r="E16" s="43">
        <v>0</v>
      </c>
      <c r="F16" s="43">
        <v>0</v>
      </c>
      <c r="G16" s="44">
        <v>0</v>
      </c>
    </row>
    <row r="17" spans="1:7" ht="31.2" x14ac:dyDescent="0.3">
      <c r="A17" s="45" t="s">
        <v>34</v>
      </c>
      <c r="B17" s="42">
        <v>0</v>
      </c>
      <c r="C17" s="43">
        <v>0</v>
      </c>
      <c r="D17" s="43">
        <v>0</v>
      </c>
      <c r="E17" s="43">
        <v>0</v>
      </c>
      <c r="F17" s="43">
        <v>0</v>
      </c>
      <c r="G17" s="44">
        <v>0</v>
      </c>
    </row>
    <row r="18" spans="1:7" ht="15.6" x14ac:dyDescent="0.3">
      <c r="A18" s="45" t="s">
        <v>35</v>
      </c>
      <c r="B18" s="42">
        <v>0</v>
      </c>
      <c r="C18" s="43">
        <v>0</v>
      </c>
      <c r="D18" s="43">
        <v>0</v>
      </c>
      <c r="E18" s="43">
        <v>0</v>
      </c>
      <c r="F18" s="43">
        <v>0</v>
      </c>
      <c r="G18" s="44">
        <v>0</v>
      </c>
    </row>
    <row r="19" spans="1:7" ht="31.2" x14ac:dyDescent="0.3">
      <c r="A19" s="46" t="s">
        <v>36</v>
      </c>
      <c r="B19" s="42">
        <v>121</v>
      </c>
      <c r="C19" s="43">
        <v>4</v>
      </c>
      <c r="D19" s="43">
        <v>0</v>
      </c>
      <c r="E19" s="43">
        <v>0</v>
      </c>
      <c r="F19" s="43">
        <v>92</v>
      </c>
      <c r="G19" s="44">
        <v>6</v>
      </c>
    </row>
    <row r="20" spans="1:7" ht="15.6" x14ac:dyDescent="0.3">
      <c r="A20" s="41" t="s">
        <v>37</v>
      </c>
      <c r="B20" s="42">
        <v>32</v>
      </c>
      <c r="C20" s="43">
        <v>2</v>
      </c>
      <c r="D20" s="43">
        <v>56</v>
      </c>
      <c r="E20" s="43">
        <v>25</v>
      </c>
      <c r="F20" s="43">
        <v>0</v>
      </c>
      <c r="G20" s="44">
        <v>0</v>
      </c>
    </row>
    <row r="21" spans="1:7" ht="15.6" x14ac:dyDescent="0.3">
      <c r="A21" s="41" t="s">
        <v>38</v>
      </c>
      <c r="B21" s="42">
        <v>198</v>
      </c>
      <c r="C21" s="43">
        <v>8</v>
      </c>
      <c r="D21" s="43">
        <v>0</v>
      </c>
      <c r="E21" s="43">
        <v>0</v>
      </c>
      <c r="F21" s="43">
        <v>364</v>
      </c>
      <c r="G21" s="44">
        <v>88</v>
      </c>
    </row>
    <row r="22" spans="1:7" ht="31.2" x14ac:dyDescent="0.3">
      <c r="A22" s="41" t="s">
        <v>39</v>
      </c>
      <c r="B22" s="42">
        <v>50</v>
      </c>
      <c r="C22" s="43">
        <v>1</v>
      </c>
      <c r="D22" s="43">
        <v>0</v>
      </c>
      <c r="E22" s="43">
        <v>0</v>
      </c>
      <c r="F22" s="43">
        <v>33</v>
      </c>
      <c r="G22" s="44">
        <v>4</v>
      </c>
    </row>
    <row r="23" spans="1:7" ht="15.6" x14ac:dyDescent="0.3">
      <c r="A23" s="41" t="s">
        <v>40</v>
      </c>
      <c r="B23" s="42">
        <v>52</v>
      </c>
      <c r="C23" s="43">
        <v>11</v>
      </c>
      <c r="D23" s="43">
        <v>0</v>
      </c>
      <c r="E23" s="43">
        <v>0</v>
      </c>
      <c r="F23" s="43">
        <v>386</v>
      </c>
      <c r="G23" s="44">
        <v>284</v>
      </c>
    </row>
    <row r="24" spans="1:7" ht="31.2" x14ac:dyDescent="0.3">
      <c r="A24" s="41" t="s">
        <v>41</v>
      </c>
      <c r="B24" s="42">
        <v>0</v>
      </c>
      <c r="C24" s="43">
        <v>0</v>
      </c>
      <c r="D24" s="43">
        <v>0</v>
      </c>
      <c r="E24" s="43">
        <v>0</v>
      </c>
      <c r="F24" s="43">
        <v>0</v>
      </c>
      <c r="G24" s="44">
        <v>0</v>
      </c>
    </row>
    <row r="25" spans="1:7" ht="46.8" x14ac:dyDescent="0.3">
      <c r="A25" s="41" t="s">
        <v>42</v>
      </c>
      <c r="B25" s="42">
        <v>24</v>
      </c>
      <c r="C25" s="43">
        <v>0</v>
      </c>
      <c r="D25" s="43">
        <v>0</v>
      </c>
      <c r="E25" s="43">
        <v>0</v>
      </c>
      <c r="F25" s="43">
        <v>14</v>
      </c>
      <c r="G25" s="44">
        <v>3</v>
      </c>
    </row>
    <row r="26" spans="1:7" ht="15.6" x14ac:dyDescent="0.3">
      <c r="A26" s="46" t="s">
        <v>43</v>
      </c>
      <c r="B26" s="42">
        <v>25</v>
      </c>
      <c r="C26" s="43">
        <v>1</v>
      </c>
      <c r="D26" s="43">
        <v>0</v>
      </c>
      <c r="E26" s="43">
        <v>0</v>
      </c>
      <c r="F26" s="43">
        <v>0</v>
      </c>
      <c r="G26" s="44">
        <v>0</v>
      </c>
    </row>
    <row r="27" spans="1:7" ht="31.2" x14ac:dyDescent="0.3">
      <c r="A27" s="46" t="s">
        <v>44</v>
      </c>
      <c r="B27" s="42">
        <v>416</v>
      </c>
      <c r="C27" s="43">
        <v>13</v>
      </c>
      <c r="D27" s="43">
        <v>0</v>
      </c>
      <c r="E27" s="43">
        <v>0</v>
      </c>
      <c r="F27" s="43">
        <v>346</v>
      </c>
      <c r="G27" s="44">
        <v>44</v>
      </c>
    </row>
    <row r="28" spans="1:7" ht="31.2" x14ac:dyDescent="0.3">
      <c r="A28" s="41" t="s">
        <v>45</v>
      </c>
      <c r="B28" s="42">
        <v>24</v>
      </c>
      <c r="C28" s="43">
        <v>3</v>
      </c>
      <c r="D28" s="43">
        <v>0</v>
      </c>
      <c r="E28" s="43">
        <v>0</v>
      </c>
      <c r="F28" s="43">
        <v>11</v>
      </c>
      <c r="G28" s="44">
        <v>0</v>
      </c>
    </row>
    <row r="29" spans="1:7" ht="15.6" x14ac:dyDescent="0.3">
      <c r="A29" s="41" t="s">
        <v>46</v>
      </c>
      <c r="B29" s="42">
        <v>23</v>
      </c>
      <c r="C29" s="43">
        <v>2</v>
      </c>
      <c r="D29" s="43">
        <v>0</v>
      </c>
      <c r="E29" s="43">
        <v>0</v>
      </c>
      <c r="F29" s="43">
        <v>0</v>
      </c>
      <c r="G29" s="44">
        <v>0</v>
      </c>
    </row>
    <row r="30" spans="1:7" ht="31.2" x14ac:dyDescent="0.3">
      <c r="A30" s="41" t="s">
        <v>47</v>
      </c>
      <c r="B30" s="42">
        <v>0</v>
      </c>
      <c r="C30" s="43">
        <v>0</v>
      </c>
      <c r="D30" s="43">
        <v>0</v>
      </c>
      <c r="E30" s="43">
        <v>0</v>
      </c>
      <c r="F30" s="43">
        <v>0</v>
      </c>
      <c r="G30" s="44">
        <v>0</v>
      </c>
    </row>
    <row r="31" spans="1:7" ht="31.2" x14ac:dyDescent="0.3">
      <c r="A31" s="41" t="s">
        <v>48</v>
      </c>
      <c r="B31" s="42">
        <v>0</v>
      </c>
      <c r="C31" s="43">
        <v>0</v>
      </c>
      <c r="D31" s="43">
        <v>0</v>
      </c>
      <c r="E31" s="43">
        <v>0</v>
      </c>
      <c r="F31" s="43">
        <v>0</v>
      </c>
      <c r="G31" s="44">
        <v>0</v>
      </c>
    </row>
    <row r="32" spans="1:7" ht="31.2" x14ac:dyDescent="0.3">
      <c r="A32" s="45" t="s">
        <v>49</v>
      </c>
      <c r="B32" s="42">
        <v>0</v>
      </c>
      <c r="C32" s="43">
        <v>0</v>
      </c>
      <c r="D32" s="43">
        <v>0</v>
      </c>
      <c r="E32" s="43">
        <v>0</v>
      </c>
      <c r="F32" s="43">
        <v>0</v>
      </c>
      <c r="G32" s="44">
        <v>0</v>
      </c>
    </row>
    <row r="33" spans="1:7" ht="31.2" x14ac:dyDescent="0.3">
      <c r="A33" s="45" t="s">
        <v>50</v>
      </c>
      <c r="B33" s="42">
        <v>0</v>
      </c>
      <c r="C33" s="43">
        <v>0</v>
      </c>
      <c r="D33" s="43">
        <v>0</v>
      </c>
      <c r="E33" s="43">
        <v>0</v>
      </c>
      <c r="F33" s="43">
        <v>0</v>
      </c>
      <c r="G33" s="44">
        <v>0</v>
      </c>
    </row>
    <row r="34" spans="1:7" ht="15.6" x14ac:dyDescent="0.3">
      <c r="A34" s="47" t="s">
        <v>51</v>
      </c>
      <c r="B34" s="48">
        <v>0</v>
      </c>
      <c r="C34" s="49">
        <v>0</v>
      </c>
      <c r="D34" s="49">
        <v>0</v>
      </c>
      <c r="E34" s="49">
        <v>0</v>
      </c>
      <c r="F34" s="49">
        <v>0</v>
      </c>
      <c r="G34" s="50">
        <v>0</v>
      </c>
    </row>
    <row r="35" spans="1:7" ht="15.6" x14ac:dyDescent="0.3">
      <c r="A35" s="51" t="s">
        <v>3</v>
      </c>
      <c r="B35" s="52">
        <f>SUM(B3:B34)</f>
        <v>1321</v>
      </c>
      <c r="C35" s="53">
        <f t="shared" ref="C35:G35" si="0">SUM(C3:C34)</f>
        <v>65</v>
      </c>
      <c r="D35" s="52">
        <f t="shared" si="0"/>
        <v>104</v>
      </c>
      <c r="E35" s="53">
        <f t="shared" si="0"/>
        <v>46</v>
      </c>
      <c r="F35" s="52">
        <f t="shared" si="0"/>
        <v>1489</v>
      </c>
      <c r="G35" s="53">
        <f t="shared" si="0"/>
        <v>534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zoomScaleSheetLayoutView="100" workbookViewId="0">
      <selection activeCell="D4" sqref="D4"/>
    </sheetView>
  </sheetViews>
  <sheetFormatPr defaultColWidth="9" defaultRowHeight="15.6" x14ac:dyDescent="0.3"/>
  <cols>
    <col min="1" max="1" width="45.44140625" style="1" customWidth="1"/>
    <col min="2" max="2" width="11" style="2" customWidth="1"/>
    <col min="3" max="3" width="39.5546875" style="3" customWidth="1"/>
    <col min="4" max="4" width="43.6640625" style="4" customWidth="1"/>
  </cols>
  <sheetData>
    <row r="1" spans="1:4" x14ac:dyDescent="0.3">
      <c r="A1" s="5" t="s">
        <v>52</v>
      </c>
      <c r="B1" s="6" t="s">
        <v>53</v>
      </c>
      <c r="C1" s="7" t="s">
        <v>54</v>
      </c>
      <c r="D1" s="8" t="s">
        <v>55</v>
      </c>
    </row>
    <row r="2" spans="1:4" x14ac:dyDescent="0.3">
      <c r="A2" s="9" t="s">
        <v>20</v>
      </c>
      <c r="B2" s="26" t="s">
        <v>56</v>
      </c>
      <c r="C2" s="11" t="s">
        <v>57</v>
      </c>
      <c r="D2" s="12" t="s">
        <v>58</v>
      </c>
    </row>
    <row r="3" spans="1:4" ht="30" customHeight="1" x14ac:dyDescent="0.3">
      <c r="A3" s="9" t="s">
        <v>21</v>
      </c>
      <c r="B3" s="13" t="s">
        <v>59</v>
      </c>
      <c r="C3" s="14" t="s">
        <v>60</v>
      </c>
      <c r="D3" s="15" t="s">
        <v>61</v>
      </c>
    </row>
    <row r="4" spans="1:4" ht="15" customHeight="1" x14ac:dyDescent="0.3">
      <c r="A4" s="9" t="s">
        <v>22</v>
      </c>
      <c r="B4" s="27" t="s">
        <v>62</v>
      </c>
      <c r="C4" s="28" t="s">
        <v>63</v>
      </c>
      <c r="D4" s="15" t="s">
        <v>64</v>
      </c>
    </row>
    <row r="5" spans="1:4" ht="28.8" x14ac:dyDescent="0.3">
      <c r="A5" s="9" t="s">
        <v>22</v>
      </c>
      <c r="B5" s="27" t="s">
        <v>62</v>
      </c>
      <c r="C5" s="29"/>
      <c r="D5" s="15" t="s">
        <v>65</v>
      </c>
    </row>
    <row r="6" spans="1:4" ht="15" customHeight="1" x14ac:dyDescent="0.3">
      <c r="A6" s="9" t="s">
        <v>23</v>
      </c>
      <c r="B6" s="25" t="s">
        <v>66</v>
      </c>
      <c r="C6" s="14" t="s">
        <v>67</v>
      </c>
      <c r="D6" s="30" t="s">
        <v>68</v>
      </c>
    </row>
    <row r="7" spans="1:4" ht="15" customHeight="1" x14ac:dyDescent="0.3">
      <c r="A7" s="9" t="s">
        <v>23</v>
      </c>
      <c r="B7" s="13" t="s">
        <v>69</v>
      </c>
      <c r="C7" s="14" t="s">
        <v>70</v>
      </c>
      <c r="D7" s="15" t="s">
        <v>70</v>
      </c>
    </row>
    <row r="8" spans="1:4" ht="28.8" x14ac:dyDescent="0.3">
      <c r="A8" s="9" t="s">
        <v>23</v>
      </c>
      <c r="B8" s="13" t="s">
        <v>69</v>
      </c>
      <c r="C8" s="14" t="s">
        <v>70</v>
      </c>
      <c r="D8" s="15" t="s">
        <v>71</v>
      </c>
    </row>
    <row r="9" spans="1:4" ht="28.8" x14ac:dyDescent="0.3">
      <c r="A9" s="9" t="s">
        <v>24</v>
      </c>
      <c r="B9" s="13" t="s">
        <v>72</v>
      </c>
      <c r="C9" s="14" t="s">
        <v>73</v>
      </c>
      <c r="D9" s="15" t="s">
        <v>74</v>
      </c>
    </row>
    <row r="10" spans="1:4" ht="15" customHeight="1" x14ac:dyDescent="0.3">
      <c r="A10" s="9" t="s">
        <v>24</v>
      </c>
      <c r="B10" s="13" t="s">
        <v>75</v>
      </c>
      <c r="C10" s="14" t="s">
        <v>76</v>
      </c>
      <c r="D10" s="15" t="s">
        <v>77</v>
      </c>
    </row>
    <row r="11" spans="1:4" x14ac:dyDescent="0.3">
      <c r="A11" s="9" t="s">
        <v>24</v>
      </c>
      <c r="B11" s="13" t="s">
        <v>75</v>
      </c>
      <c r="C11" s="14" t="s">
        <v>76</v>
      </c>
      <c r="D11" s="15" t="s">
        <v>78</v>
      </c>
    </row>
    <row r="12" spans="1:4" ht="30" customHeight="1" x14ac:dyDescent="0.3">
      <c r="A12" s="9" t="s">
        <v>25</v>
      </c>
      <c r="B12" s="31" t="s">
        <v>79</v>
      </c>
      <c r="C12" s="28" t="s">
        <v>80</v>
      </c>
      <c r="D12" s="15" t="s">
        <v>81</v>
      </c>
    </row>
    <row r="13" spans="1:4" ht="28.8" x14ac:dyDescent="0.3">
      <c r="A13" s="9" t="s">
        <v>25</v>
      </c>
      <c r="B13" s="31" t="s">
        <v>79</v>
      </c>
      <c r="C13" s="29"/>
      <c r="D13" s="15" t="s">
        <v>82</v>
      </c>
    </row>
    <row r="14" spans="1:4" ht="15" customHeight="1" x14ac:dyDescent="0.3">
      <c r="A14" s="9" t="s">
        <v>26</v>
      </c>
      <c r="B14" s="16" t="s">
        <v>83</v>
      </c>
      <c r="C14" s="17" t="s">
        <v>84</v>
      </c>
      <c r="D14" s="15" t="s">
        <v>85</v>
      </c>
    </row>
    <row r="15" spans="1:4" ht="43.2" x14ac:dyDescent="0.3">
      <c r="A15" s="9" t="s">
        <v>27</v>
      </c>
      <c r="B15" s="19" t="s">
        <v>86</v>
      </c>
      <c r="C15" s="14" t="s">
        <v>87</v>
      </c>
      <c r="D15" s="15" t="s">
        <v>88</v>
      </c>
    </row>
    <row r="16" spans="1:4" ht="31.2" x14ac:dyDescent="0.3">
      <c r="A16" s="32" t="s">
        <v>28</v>
      </c>
      <c r="B16" s="20" t="s">
        <v>89</v>
      </c>
      <c r="C16" s="14" t="s">
        <v>90</v>
      </c>
      <c r="D16" s="15" t="s">
        <v>91</v>
      </c>
    </row>
    <row r="17" spans="1:4" ht="28.8" x14ac:dyDescent="0.3">
      <c r="A17" s="18" t="s">
        <v>29</v>
      </c>
      <c r="B17" s="13" t="s">
        <v>92</v>
      </c>
      <c r="C17" s="14" t="s">
        <v>93</v>
      </c>
      <c r="D17" s="15" t="s">
        <v>94</v>
      </c>
    </row>
    <row r="18" spans="1:4" ht="15" customHeight="1" x14ac:dyDescent="0.3">
      <c r="A18" s="18" t="s">
        <v>30</v>
      </c>
      <c r="B18" s="13" t="s">
        <v>95</v>
      </c>
      <c r="C18" s="14" t="s">
        <v>96</v>
      </c>
      <c r="D18" s="15" t="s">
        <v>97</v>
      </c>
    </row>
    <row r="19" spans="1:4" ht="15" customHeight="1" x14ac:dyDescent="0.3">
      <c r="A19" s="18" t="s">
        <v>30</v>
      </c>
      <c r="B19" s="13" t="s">
        <v>98</v>
      </c>
      <c r="C19" s="14" t="s">
        <v>99</v>
      </c>
      <c r="D19" s="15" t="s">
        <v>100</v>
      </c>
    </row>
    <row r="20" spans="1:4" x14ac:dyDescent="0.3">
      <c r="A20" s="18" t="s">
        <v>30</v>
      </c>
      <c r="B20" s="13" t="s">
        <v>98</v>
      </c>
      <c r="C20" s="14" t="s">
        <v>99</v>
      </c>
      <c r="D20" s="15" t="s">
        <v>101</v>
      </c>
    </row>
    <row r="21" spans="1:4" ht="28.8" x14ac:dyDescent="0.3">
      <c r="A21" s="18" t="s">
        <v>30</v>
      </c>
      <c r="B21" s="13" t="s">
        <v>98</v>
      </c>
      <c r="C21" s="14" t="s">
        <v>99</v>
      </c>
      <c r="D21" s="15" t="s">
        <v>102</v>
      </c>
    </row>
    <row r="22" spans="1:4" ht="43.2" x14ac:dyDescent="0.3">
      <c r="A22" s="18" t="s">
        <v>30</v>
      </c>
      <c r="B22" s="20" t="s">
        <v>103</v>
      </c>
      <c r="C22" s="14" t="s">
        <v>104</v>
      </c>
      <c r="D22" s="15" t="s">
        <v>104</v>
      </c>
    </row>
    <row r="23" spans="1:4" ht="28.8" x14ac:dyDescent="0.3">
      <c r="A23" s="18" t="s">
        <v>30</v>
      </c>
      <c r="B23" s="19" t="s">
        <v>105</v>
      </c>
      <c r="C23" s="14" t="s">
        <v>106</v>
      </c>
      <c r="D23" s="15" t="s">
        <v>107</v>
      </c>
    </row>
    <row r="24" spans="1:4" ht="28.8" x14ac:dyDescent="0.3">
      <c r="A24" s="18" t="s">
        <v>30</v>
      </c>
      <c r="B24" s="19" t="s">
        <v>105</v>
      </c>
      <c r="C24" s="14" t="s">
        <v>106</v>
      </c>
      <c r="D24" s="15" t="s">
        <v>108</v>
      </c>
    </row>
    <row r="25" spans="1:4" ht="30" customHeight="1" x14ac:dyDescent="0.3">
      <c r="A25" s="9" t="s">
        <v>31</v>
      </c>
      <c r="B25" s="19" t="s">
        <v>109</v>
      </c>
      <c r="C25" s="14" t="s">
        <v>110</v>
      </c>
      <c r="D25" s="15" t="s">
        <v>111</v>
      </c>
    </row>
    <row r="26" spans="1:4" ht="31.2" x14ac:dyDescent="0.3">
      <c r="A26" s="9" t="s">
        <v>31</v>
      </c>
      <c r="B26" s="13" t="s">
        <v>112</v>
      </c>
      <c r="C26" s="14" t="s">
        <v>113</v>
      </c>
      <c r="D26" s="15" t="s">
        <v>114</v>
      </c>
    </row>
    <row r="27" spans="1:4" ht="31.2" x14ac:dyDescent="0.3">
      <c r="A27" s="9" t="s">
        <v>31</v>
      </c>
      <c r="B27" s="20" t="s">
        <v>115</v>
      </c>
      <c r="C27" s="14" t="s">
        <v>116</v>
      </c>
      <c r="D27" s="15" t="s">
        <v>117</v>
      </c>
    </row>
    <row r="28" spans="1:4" ht="31.2" x14ac:dyDescent="0.3">
      <c r="A28" s="9" t="s">
        <v>31</v>
      </c>
      <c r="B28" s="13" t="s">
        <v>118</v>
      </c>
      <c r="C28" s="14" t="s">
        <v>119</v>
      </c>
      <c r="D28" s="15" t="s">
        <v>120</v>
      </c>
    </row>
    <row r="29" spans="1:4" ht="15" customHeight="1" x14ac:dyDescent="0.3">
      <c r="A29" s="9" t="s">
        <v>31</v>
      </c>
      <c r="B29" s="13" t="s">
        <v>118</v>
      </c>
      <c r="C29" s="14" t="s">
        <v>119</v>
      </c>
      <c r="D29" s="15" t="s">
        <v>121</v>
      </c>
    </row>
    <row r="30" spans="1:4" ht="15" customHeight="1" x14ac:dyDescent="0.3">
      <c r="A30" s="9" t="s">
        <v>32</v>
      </c>
      <c r="B30" s="13" t="s">
        <v>122</v>
      </c>
      <c r="C30" s="14" t="s">
        <v>123</v>
      </c>
      <c r="D30" s="15" t="s">
        <v>124</v>
      </c>
    </row>
    <row r="31" spans="1:4" ht="15" customHeight="1" x14ac:dyDescent="0.3">
      <c r="A31" s="9" t="s">
        <v>32</v>
      </c>
      <c r="B31" s="13" t="s">
        <v>122</v>
      </c>
      <c r="C31" s="14" t="s">
        <v>123</v>
      </c>
      <c r="D31" s="15" t="s">
        <v>125</v>
      </c>
    </row>
    <row r="32" spans="1:4" ht="30" customHeight="1" x14ac:dyDescent="0.3">
      <c r="A32" s="9" t="s">
        <v>33</v>
      </c>
      <c r="B32" s="19" t="s">
        <v>126</v>
      </c>
      <c r="C32" s="14" t="s">
        <v>127</v>
      </c>
      <c r="D32" s="15" t="s">
        <v>128</v>
      </c>
    </row>
    <row r="33" spans="1:4" ht="31.2" x14ac:dyDescent="0.3">
      <c r="A33" s="9" t="s">
        <v>33</v>
      </c>
      <c r="B33" s="19" t="s">
        <v>129</v>
      </c>
      <c r="C33" s="14" t="s">
        <v>130</v>
      </c>
      <c r="D33" s="15" t="s">
        <v>130</v>
      </c>
    </row>
    <row r="34" spans="1:4" ht="31.2" x14ac:dyDescent="0.3">
      <c r="A34" s="32" t="s">
        <v>34</v>
      </c>
      <c r="B34" s="19" t="s">
        <v>131</v>
      </c>
      <c r="C34" s="14" t="s">
        <v>132</v>
      </c>
      <c r="D34" s="15" t="s">
        <v>133</v>
      </c>
    </row>
    <row r="35" spans="1:4" ht="28.8" x14ac:dyDescent="0.3">
      <c r="A35" s="32" t="s">
        <v>35</v>
      </c>
      <c r="B35" s="19" t="s">
        <v>134</v>
      </c>
      <c r="C35" s="14" t="s">
        <v>135</v>
      </c>
      <c r="D35" s="15" t="s">
        <v>136</v>
      </c>
    </row>
    <row r="36" spans="1:4" ht="30" customHeight="1" x14ac:dyDescent="0.3">
      <c r="A36" s="18" t="s">
        <v>36</v>
      </c>
      <c r="B36" s="13" t="s">
        <v>137</v>
      </c>
      <c r="C36" s="14" t="s">
        <v>138</v>
      </c>
      <c r="D36" s="15" t="s">
        <v>139</v>
      </c>
    </row>
    <row r="37" spans="1:4" ht="15" customHeight="1" x14ac:dyDescent="0.3">
      <c r="A37" s="18" t="s">
        <v>36</v>
      </c>
      <c r="B37" s="19" t="s">
        <v>140</v>
      </c>
      <c r="C37" s="14" t="s">
        <v>141</v>
      </c>
      <c r="D37" s="15" t="s">
        <v>142</v>
      </c>
    </row>
    <row r="38" spans="1:4" ht="15" customHeight="1" x14ac:dyDescent="0.3">
      <c r="A38" s="18" t="s">
        <v>36</v>
      </c>
      <c r="B38" s="13" t="s">
        <v>143</v>
      </c>
      <c r="C38" s="14" t="s">
        <v>144</v>
      </c>
      <c r="D38" s="15" t="s">
        <v>145</v>
      </c>
    </row>
    <row r="39" spans="1:4" ht="31.2" x14ac:dyDescent="0.3">
      <c r="A39" s="18" t="s">
        <v>36</v>
      </c>
      <c r="B39" s="13" t="s">
        <v>143</v>
      </c>
      <c r="C39" s="14" t="s">
        <v>144</v>
      </c>
      <c r="D39" s="15" t="s">
        <v>144</v>
      </c>
    </row>
    <row r="40" spans="1:4" ht="15" customHeight="1" x14ac:dyDescent="0.3">
      <c r="A40" s="18" t="s">
        <v>36</v>
      </c>
      <c r="B40" s="19" t="s">
        <v>146</v>
      </c>
      <c r="C40" s="14" t="s">
        <v>147</v>
      </c>
      <c r="D40" s="15" t="s">
        <v>148</v>
      </c>
    </row>
    <row r="41" spans="1:4" ht="15" customHeight="1" x14ac:dyDescent="0.3">
      <c r="A41" s="18" t="s">
        <v>36</v>
      </c>
      <c r="B41" s="13" t="s">
        <v>149</v>
      </c>
      <c r="C41" s="14" t="s">
        <v>150</v>
      </c>
      <c r="D41" s="15" t="s">
        <v>151</v>
      </c>
    </row>
    <row r="42" spans="1:4" ht="15" customHeight="1" x14ac:dyDescent="0.3">
      <c r="A42" s="18" t="s">
        <v>36</v>
      </c>
      <c r="B42" s="20" t="s">
        <v>152</v>
      </c>
      <c r="C42" s="14" t="s">
        <v>153</v>
      </c>
      <c r="D42" s="15" t="s">
        <v>153</v>
      </c>
    </row>
    <row r="43" spans="1:4" ht="15" customHeight="1" x14ac:dyDescent="0.3">
      <c r="A43" s="18" t="s">
        <v>36</v>
      </c>
      <c r="B43" s="13" t="s">
        <v>154</v>
      </c>
      <c r="C43" s="14" t="s">
        <v>155</v>
      </c>
      <c r="D43" s="15" t="s">
        <v>156</v>
      </c>
    </row>
    <row r="44" spans="1:4" ht="15" customHeight="1" x14ac:dyDescent="0.3">
      <c r="A44" s="18" t="s">
        <v>36</v>
      </c>
      <c r="B44" s="19" t="s">
        <v>157</v>
      </c>
      <c r="C44" s="14" t="s">
        <v>158</v>
      </c>
      <c r="D44" s="15" t="s">
        <v>158</v>
      </c>
    </row>
    <row r="45" spans="1:4" ht="15" customHeight="1" x14ac:dyDescent="0.3">
      <c r="A45" s="9" t="s">
        <v>37</v>
      </c>
      <c r="B45" s="13" t="s">
        <v>159</v>
      </c>
      <c r="C45" s="14" t="s">
        <v>160</v>
      </c>
      <c r="D45" s="15" t="s">
        <v>160</v>
      </c>
    </row>
    <row r="46" spans="1:4" ht="15" customHeight="1" x14ac:dyDescent="0.3">
      <c r="A46" s="9" t="s">
        <v>38</v>
      </c>
      <c r="B46" s="13" t="s">
        <v>161</v>
      </c>
      <c r="C46" s="14" t="s">
        <v>162</v>
      </c>
      <c r="D46" s="15" t="s">
        <v>163</v>
      </c>
    </row>
    <row r="47" spans="1:4" ht="15" customHeight="1" x14ac:dyDescent="0.3">
      <c r="A47" s="9" t="s">
        <v>38</v>
      </c>
      <c r="B47" s="13" t="s">
        <v>161</v>
      </c>
      <c r="C47" s="14" t="s">
        <v>162</v>
      </c>
      <c r="D47" s="15" t="s">
        <v>164</v>
      </c>
    </row>
    <row r="48" spans="1:4" ht="15" customHeight="1" x14ac:dyDescent="0.3">
      <c r="A48" s="9" t="s">
        <v>38</v>
      </c>
      <c r="B48" s="13" t="s">
        <v>161</v>
      </c>
      <c r="C48" s="14" t="s">
        <v>162</v>
      </c>
      <c r="D48" s="15" t="s">
        <v>165</v>
      </c>
    </row>
    <row r="49" spans="1:4" x14ac:dyDescent="0.3">
      <c r="A49" s="9" t="s">
        <v>38</v>
      </c>
      <c r="B49" s="13" t="s">
        <v>161</v>
      </c>
      <c r="C49" s="14" t="s">
        <v>162</v>
      </c>
      <c r="D49" s="15" t="s">
        <v>166</v>
      </c>
    </row>
    <row r="50" spans="1:4" ht="15" customHeight="1" x14ac:dyDescent="0.3">
      <c r="A50" s="9" t="s">
        <v>38</v>
      </c>
      <c r="B50" s="13" t="s">
        <v>161</v>
      </c>
      <c r="C50" s="14" t="s">
        <v>162</v>
      </c>
      <c r="D50" s="15" t="s">
        <v>167</v>
      </c>
    </row>
    <row r="51" spans="1:4" ht="15" customHeight="1" x14ac:dyDescent="0.3">
      <c r="A51" s="9" t="s">
        <v>38</v>
      </c>
      <c r="B51" s="13" t="s">
        <v>161</v>
      </c>
      <c r="C51" s="14" t="s">
        <v>162</v>
      </c>
      <c r="D51" s="15" t="s">
        <v>168</v>
      </c>
    </row>
    <row r="52" spans="1:4" ht="15" customHeight="1" x14ac:dyDescent="0.3">
      <c r="A52" s="9" t="s">
        <v>38</v>
      </c>
      <c r="B52" s="13" t="s">
        <v>161</v>
      </c>
      <c r="C52" s="14" t="s">
        <v>162</v>
      </c>
      <c r="D52" s="15" t="s">
        <v>169</v>
      </c>
    </row>
    <row r="53" spans="1:4" ht="15" customHeight="1" x14ac:dyDescent="0.3">
      <c r="A53" s="9" t="s">
        <v>38</v>
      </c>
      <c r="B53" s="13" t="s">
        <v>170</v>
      </c>
      <c r="C53" s="14" t="s">
        <v>171</v>
      </c>
      <c r="D53" s="15" t="s">
        <v>172</v>
      </c>
    </row>
    <row r="54" spans="1:4" ht="15" customHeight="1" x14ac:dyDescent="0.3">
      <c r="A54" s="9" t="s">
        <v>38</v>
      </c>
      <c r="B54" s="13" t="s">
        <v>170</v>
      </c>
      <c r="C54" s="14" t="s">
        <v>171</v>
      </c>
      <c r="D54" s="15" t="s">
        <v>171</v>
      </c>
    </row>
    <row r="55" spans="1:4" ht="15" customHeight="1" x14ac:dyDescent="0.3">
      <c r="A55" s="9" t="s">
        <v>38</v>
      </c>
      <c r="B55" s="19" t="s">
        <v>173</v>
      </c>
      <c r="C55" s="14" t="s">
        <v>174</v>
      </c>
      <c r="D55" s="15" t="s">
        <v>174</v>
      </c>
    </row>
    <row r="56" spans="1:4" ht="15" customHeight="1" x14ac:dyDescent="0.3">
      <c r="A56" s="9" t="s">
        <v>38</v>
      </c>
      <c r="B56" s="13" t="s">
        <v>175</v>
      </c>
      <c r="C56" s="14" t="s">
        <v>176</v>
      </c>
      <c r="D56" s="15" t="s">
        <v>176</v>
      </c>
    </row>
    <row r="57" spans="1:4" ht="15" customHeight="1" x14ac:dyDescent="0.3">
      <c r="A57" s="9" t="s">
        <v>38</v>
      </c>
      <c r="B57" s="19" t="s">
        <v>177</v>
      </c>
      <c r="C57" s="14" t="s">
        <v>178</v>
      </c>
      <c r="D57" s="15" t="s">
        <v>178</v>
      </c>
    </row>
    <row r="58" spans="1:4" x14ac:dyDescent="0.3">
      <c r="A58" s="9" t="s">
        <v>38</v>
      </c>
      <c r="B58" s="13" t="s">
        <v>179</v>
      </c>
      <c r="C58" s="14" t="s">
        <v>180</v>
      </c>
      <c r="D58" s="15" t="s">
        <v>181</v>
      </c>
    </row>
    <row r="59" spans="1:4" ht="15" customHeight="1" x14ac:dyDescent="0.3">
      <c r="A59" s="9" t="s">
        <v>38</v>
      </c>
      <c r="B59" s="19" t="s">
        <v>182</v>
      </c>
      <c r="C59" s="14" t="s">
        <v>183</v>
      </c>
      <c r="D59" s="15" t="s">
        <v>184</v>
      </c>
    </row>
    <row r="60" spans="1:4" x14ac:dyDescent="0.3">
      <c r="A60" s="9" t="s">
        <v>39</v>
      </c>
      <c r="B60" s="19" t="s">
        <v>185</v>
      </c>
      <c r="C60" s="14" t="s">
        <v>186</v>
      </c>
      <c r="D60" s="15" t="s">
        <v>186</v>
      </c>
    </row>
    <row r="61" spans="1:4" ht="15" customHeight="1" x14ac:dyDescent="0.3">
      <c r="A61" s="9" t="s">
        <v>39</v>
      </c>
      <c r="B61" s="13" t="s">
        <v>187</v>
      </c>
      <c r="C61" s="14" t="s">
        <v>188</v>
      </c>
      <c r="D61" s="15" t="s">
        <v>189</v>
      </c>
    </row>
    <row r="62" spans="1:4" ht="15" customHeight="1" x14ac:dyDescent="0.3">
      <c r="A62" s="9" t="s">
        <v>39</v>
      </c>
      <c r="B62" s="13" t="s">
        <v>187</v>
      </c>
      <c r="C62" s="14" t="s">
        <v>188</v>
      </c>
      <c r="D62" s="15" t="s">
        <v>188</v>
      </c>
    </row>
    <row r="63" spans="1:4" ht="15" customHeight="1" x14ac:dyDescent="0.3">
      <c r="A63" s="9" t="s">
        <v>39</v>
      </c>
      <c r="B63" s="19" t="s">
        <v>190</v>
      </c>
      <c r="C63" s="14" t="s">
        <v>191</v>
      </c>
      <c r="D63" s="15" t="s">
        <v>191</v>
      </c>
    </row>
    <row r="64" spans="1:4" ht="15" customHeight="1" x14ac:dyDescent="0.3">
      <c r="A64" s="9" t="s">
        <v>40</v>
      </c>
      <c r="B64" s="13" t="s">
        <v>192</v>
      </c>
      <c r="C64" s="14" t="s">
        <v>193</v>
      </c>
      <c r="D64" s="15" t="s">
        <v>193</v>
      </c>
    </row>
    <row r="65" spans="1:4" ht="15" customHeight="1" x14ac:dyDescent="0.3">
      <c r="A65" s="9" t="s">
        <v>40</v>
      </c>
      <c r="B65" s="13" t="s">
        <v>192</v>
      </c>
      <c r="C65" s="14" t="s">
        <v>193</v>
      </c>
      <c r="D65" s="15" t="s">
        <v>194</v>
      </c>
    </row>
    <row r="66" spans="1:4" ht="15" customHeight="1" x14ac:dyDescent="0.3">
      <c r="A66" s="9" t="s">
        <v>40</v>
      </c>
      <c r="B66" s="13" t="s">
        <v>192</v>
      </c>
      <c r="C66" s="14" t="s">
        <v>193</v>
      </c>
      <c r="D66" s="15" t="s">
        <v>195</v>
      </c>
    </row>
    <row r="67" spans="1:4" ht="15" customHeight="1" x14ac:dyDescent="0.3">
      <c r="A67" s="9" t="s">
        <v>40</v>
      </c>
      <c r="B67" s="13" t="s">
        <v>192</v>
      </c>
      <c r="C67" s="14" t="s">
        <v>193</v>
      </c>
      <c r="D67" s="15" t="s">
        <v>196</v>
      </c>
    </row>
    <row r="68" spans="1:4" ht="15" customHeight="1" x14ac:dyDescent="0.3">
      <c r="A68" s="9" t="s">
        <v>41</v>
      </c>
      <c r="B68" s="19" t="s">
        <v>197</v>
      </c>
      <c r="C68" s="14" t="s">
        <v>198</v>
      </c>
      <c r="D68" s="15"/>
    </row>
    <row r="69" spans="1:4" ht="15" customHeight="1" x14ac:dyDescent="0.3">
      <c r="A69" s="9" t="s">
        <v>42</v>
      </c>
      <c r="B69" s="19" t="s">
        <v>199</v>
      </c>
      <c r="C69" s="14" t="s">
        <v>200</v>
      </c>
      <c r="D69" s="15" t="s">
        <v>201</v>
      </c>
    </row>
    <row r="70" spans="1:4" ht="15" customHeight="1" x14ac:dyDescent="0.3">
      <c r="A70" s="9" t="s">
        <v>42</v>
      </c>
      <c r="B70" s="20" t="s">
        <v>202</v>
      </c>
      <c r="C70" s="14" t="s">
        <v>203</v>
      </c>
      <c r="D70" s="15"/>
    </row>
    <row r="71" spans="1:4" ht="31.2" x14ac:dyDescent="0.3">
      <c r="A71" s="9" t="s">
        <v>42</v>
      </c>
      <c r="B71" s="19" t="s">
        <v>204</v>
      </c>
      <c r="C71" s="14" t="s">
        <v>205</v>
      </c>
      <c r="D71" s="15" t="s">
        <v>206</v>
      </c>
    </row>
    <row r="72" spans="1:4" x14ac:dyDescent="0.3">
      <c r="A72" s="18" t="s">
        <v>43</v>
      </c>
      <c r="B72" s="20" t="s">
        <v>207</v>
      </c>
      <c r="C72" s="14" t="s">
        <v>208</v>
      </c>
      <c r="D72" s="15" t="s">
        <v>209</v>
      </c>
    </row>
    <row r="73" spans="1:4" ht="15" customHeight="1" x14ac:dyDescent="0.3">
      <c r="A73" s="18" t="s">
        <v>43</v>
      </c>
      <c r="B73" s="13" t="s">
        <v>210</v>
      </c>
      <c r="C73" s="14" t="s">
        <v>211</v>
      </c>
      <c r="D73" s="15" t="s">
        <v>212</v>
      </c>
    </row>
    <row r="74" spans="1:4" ht="15" customHeight="1" x14ac:dyDescent="0.3">
      <c r="A74" s="18" t="s">
        <v>43</v>
      </c>
      <c r="B74" s="20" t="s">
        <v>213</v>
      </c>
      <c r="C74" s="14" t="s">
        <v>214</v>
      </c>
      <c r="D74" s="15" t="s">
        <v>215</v>
      </c>
    </row>
    <row r="75" spans="1:4" ht="15" customHeight="1" x14ac:dyDescent="0.3">
      <c r="A75" s="18" t="s">
        <v>44</v>
      </c>
      <c r="B75" s="13" t="s">
        <v>216</v>
      </c>
      <c r="C75" s="14" t="s">
        <v>217</v>
      </c>
      <c r="D75" s="15" t="s">
        <v>218</v>
      </c>
    </row>
    <row r="76" spans="1:4" ht="15" customHeight="1" x14ac:dyDescent="0.3">
      <c r="A76" s="18" t="s">
        <v>44</v>
      </c>
      <c r="B76" s="13" t="s">
        <v>216</v>
      </c>
      <c r="C76" s="14" t="s">
        <v>217</v>
      </c>
      <c r="D76" s="15" t="s">
        <v>219</v>
      </c>
    </row>
    <row r="77" spans="1:4" ht="31.2" x14ac:dyDescent="0.3">
      <c r="A77" s="18" t="s">
        <v>44</v>
      </c>
      <c r="B77" s="13" t="s">
        <v>216</v>
      </c>
      <c r="C77" s="14" t="s">
        <v>217</v>
      </c>
      <c r="D77" s="15" t="s">
        <v>220</v>
      </c>
    </row>
    <row r="78" spans="1:4" ht="31.2" x14ac:dyDescent="0.3">
      <c r="A78" s="18" t="s">
        <v>44</v>
      </c>
      <c r="B78" s="13" t="s">
        <v>216</v>
      </c>
      <c r="C78" s="14" t="s">
        <v>217</v>
      </c>
      <c r="D78" s="15" t="s">
        <v>221</v>
      </c>
    </row>
    <row r="79" spans="1:4" ht="31.2" x14ac:dyDescent="0.3">
      <c r="A79" s="18" t="s">
        <v>44</v>
      </c>
      <c r="B79" s="13" t="s">
        <v>216</v>
      </c>
      <c r="C79" s="14" t="s">
        <v>217</v>
      </c>
      <c r="D79" s="15" t="s">
        <v>222</v>
      </c>
    </row>
    <row r="80" spans="1:4" ht="15" customHeight="1" x14ac:dyDescent="0.3">
      <c r="A80" s="18" t="s">
        <v>44</v>
      </c>
      <c r="B80" s="13" t="s">
        <v>216</v>
      </c>
      <c r="C80" s="14" t="s">
        <v>217</v>
      </c>
      <c r="D80" s="15" t="s">
        <v>223</v>
      </c>
    </row>
    <row r="81" spans="1:4" ht="31.2" x14ac:dyDescent="0.3">
      <c r="A81" s="18" t="s">
        <v>44</v>
      </c>
      <c r="B81" s="13" t="s">
        <v>224</v>
      </c>
      <c r="C81" s="14" t="s">
        <v>225</v>
      </c>
      <c r="D81" s="15" t="s">
        <v>226</v>
      </c>
    </row>
    <row r="82" spans="1:4" ht="31.2" x14ac:dyDescent="0.3">
      <c r="A82" s="18" t="s">
        <v>44</v>
      </c>
      <c r="B82" s="13" t="s">
        <v>227</v>
      </c>
      <c r="C82" s="14" t="s">
        <v>228</v>
      </c>
      <c r="D82" s="15" t="s">
        <v>229</v>
      </c>
    </row>
    <row r="83" spans="1:4" ht="31.2" x14ac:dyDescent="0.3">
      <c r="A83" s="18" t="s">
        <v>44</v>
      </c>
      <c r="B83" s="13" t="s">
        <v>227</v>
      </c>
      <c r="C83" s="14" t="s">
        <v>228</v>
      </c>
      <c r="D83" s="15" t="s">
        <v>230</v>
      </c>
    </row>
    <row r="84" spans="1:4" ht="15" customHeight="1" x14ac:dyDescent="0.3">
      <c r="A84" s="18" t="s">
        <v>44</v>
      </c>
      <c r="B84" s="13" t="s">
        <v>231</v>
      </c>
      <c r="C84" s="14" t="s">
        <v>232</v>
      </c>
      <c r="D84" s="15" t="s">
        <v>233</v>
      </c>
    </row>
    <row r="85" spans="1:4" ht="31.2" x14ac:dyDescent="0.3">
      <c r="A85" s="18" t="s">
        <v>44</v>
      </c>
      <c r="B85" s="13" t="s">
        <v>234</v>
      </c>
      <c r="C85" s="14" t="s">
        <v>235</v>
      </c>
      <c r="D85" s="15" t="s">
        <v>236</v>
      </c>
    </row>
    <row r="86" spans="1:4" ht="31.2" x14ac:dyDescent="0.3">
      <c r="A86" s="18" t="s">
        <v>44</v>
      </c>
      <c r="B86" s="13" t="s">
        <v>234</v>
      </c>
      <c r="C86" s="14" t="s">
        <v>235</v>
      </c>
      <c r="D86" s="15" t="s">
        <v>237</v>
      </c>
    </row>
    <row r="87" spans="1:4" ht="31.2" x14ac:dyDescent="0.3">
      <c r="A87" s="18" t="s">
        <v>44</v>
      </c>
      <c r="B87" s="13" t="s">
        <v>234</v>
      </c>
      <c r="C87" s="14" t="s">
        <v>235</v>
      </c>
      <c r="D87" s="15" t="s">
        <v>238</v>
      </c>
    </row>
    <row r="88" spans="1:4" ht="31.2" x14ac:dyDescent="0.3">
      <c r="A88" s="18" t="s">
        <v>44</v>
      </c>
      <c r="B88" s="13" t="s">
        <v>234</v>
      </c>
      <c r="C88" s="14" t="s">
        <v>235</v>
      </c>
      <c r="D88" s="15" t="s">
        <v>239</v>
      </c>
    </row>
    <row r="89" spans="1:4" ht="15" customHeight="1" x14ac:dyDescent="0.3">
      <c r="A89" s="18" t="s">
        <v>44</v>
      </c>
      <c r="B89" s="13" t="s">
        <v>234</v>
      </c>
      <c r="C89" s="14" t="s">
        <v>235</v>
      </c>
      <c r="D89" s="15" t="s">
        <v>240</v>
      </c>
    </row>
    <row r="90" spans="1:4" ht="15" customHeight="1" x14ac:dyDescent="0.3">
      <c r="A90" s="18" t="s">
        <v>44</v>
      </c>
      <c r="B90" s="13" t="s">
        <v>234</v>
      </c>
      <c r="C90" s="14" t="s">
        <v>235</v>
      </c>
      <c r="D90" s="15" t="s">
        <v>241</v>
      </c>
    </row>
    <row r="91" spans="1:4" ht="31.2" x14ac:dyDescent="0.3">
      <c r="A91" s="18" t="s">
        <v>44</v>
      </c>
      <c r="B91" s="13" t="s">
        <v>234</v>
      </c>
      <c r="C91" s="14" t="s">
        <v>235</v>
      </c>
      <c r="D91" s="15" t="s">
        <v>242</v>
      </c>
    </row>
    <row r="92" spans="1:4" ht="31.2" x14ac:dyDescent="0.3">
      <c r="A92" s="18" t="s">
        <v>44</v>
      </c>
      <c r="B92" s="13" t="s">
        <v>234</v>
      </c>
      <c r="C92" s="14" t="s">
        <v>235</v>
      </c>
      <c r="D92" s="15" t="s">
        <v>243</v>
      </c>
    </row>
    <row r="93" spans="1:4" ht="31.2" x14ac:dyDescent="0.3">
      <c r="A93" s="18" t="s">
        <v>44</v>
      </c>
      <c r="B93" s="13" t="s">
        <v>234</v>
      </c>
      <c r="C93" s="14" t="s">
        <v>235</v>
      </c>
      <c r="D93" s="15" t="s">
        <v>244</v>
      </c>
    </row>
    <row r="94" spans="1:4" ht="31.2" x14ac:dyDescent="0.3">
      <c r="A94" s="18" t="s">
        <v>44</v>
      </c>
      <c r="B94" s="13" t="s">
        <v>234</v>
      </c>
      <c r="C94" s="14" t="s">
        <v>235</v>
      </c>
      <c r="D94" s="15" t="s">
        <v>245</v>
      </c>
    </row>
    <row r="95" spans="1:4" ht="31.2" x14ac:dyDescent="0.3">
      <c r="A95" s="18" t="s">
        <v>44</v>
      </c>
      <c r="B95" s="13" t="s">
        <v>234</v>
      </c>
      <c r="C95" s="14" t="s">
        <v>235</v>
      </c>
      <c r="D95" s="15" t="s">
        <v>246</v>
      </c>
    </row>
    <row r="96" spans="1:4" ht="31.2" x14ac:dyDescent="0.3">
      <c r="A96" s="18" t="s">
        <v>44</v>
      </c>
      <c r="B96" s="13" t="s">
        <v>234</v>
      </c>
      <c r="C96" s="14" t="s">
        <v>235</v>
      </c>
      <c r="D96" s="15" t="s">
        <v>247</v>
      </c>
    </row>
    <row r="97" spans="1:4" ht="31.2" x14ac:dyDescent="0.3">
      <c r="A97" s="18" t="s">
        <v>44</v>
      </c>
      <c r="B97" s="13" t="s">
        <v>234</v>
      </c>
      <c r="C97" s="14" t="s">
        <v>235</v>
      </c>
      <c r="D97" s="15" t="s">
        <v>248</v>
      </c>
    </row>
    <row r="98" spans="1:4" ht="31.2" x14ac:dyDescent="0.3">
      <c r="A98" s="18" t="s">
        <v>44</v>
      </c>
      <c r="B98" s="13" t="s">
        <v>234</v>
      </c>
      <c r="C98" s="14" t="s">
        <v>235</v>
      </c>
      <c r="D98" s="15" t="s">
        <v>249</v>
      </c>
    </row>
    <row r="99" spans="1:4" ht="31.2" x14ac:dyDescent="0.3">
      <c r="A99" s="18" t="s">
        <v>44</v>
      </c>
      <c r="B99" s="13" t="s">
        <v>234</v>
      </c>
      <c r="C99" s="14" t="s">
        <v>235</v>
      </c>
      <c r="D99" s="15" t="s">
        <v>250</v>
      </c>
    </row>
    <row r="100" spans="1:4" ht="31.2" x14ac:dyDescent="0.3">
      <c r="A100" s="18" t="s">
        <v>44</v>
      </c>
      <c r="B100" s="13" t="s">
        <v>234</v>
      </c>
      <c r="C100" s="14" t="s">
        <v>235</v>
      </c>
      <c r="D100" s="15" t="s">
        <v>251</v>
      </c>
    </row>
    <row r="101" spans="1:4" ht="31.2" x14ac:dyDescent="0.3">
      <c r="A101" s="18" t="s">
        <v>44</v>
      </c>
      <c r="B101" s="13" t="s">
        <v>234</v>
      </c>
      <c r="C101" s="14" t="s">
        <v>235</v>
      </c>
      <c r="D101" s="15" t="s">
        <v>252</v>
      </c>
    </row>
    <row r="102" spans="1:4" ht="31.2" x14ac:dyDescent="0.3">
      <c r="A102" s="18" t="s">
        <v>44</v>
      </c>
      <c r="B102" s="13" t="s">
        <v>234</v>
      </c>
      <c r="C102" s="14" t="s">
        <v>235</v>
      </c>
      <c r="D102" s="15" t="s">
        <v>253</v>
      </c>
    </row>
    <row r="103" spans="1:4" ht="15" customHeight="1" x14ac:dyDescent="0.3">
      <c r="A103" s="9" t="s">
        <v>45</v>
      </c>
      <c r="B103" s="13" t="s">
        <v>254</v>
      </c>
      <c r="C103" s="14" t="s">
        <v>255</v>
      </c>
      <c r="D103" s="15" t="s">
        <v>256</v>
      </c>
    </row>
    <row r="104" spans="1:4" ht="15" customHeight="1" x14ac:dyDescent="0.3">
      <c r="A104" s="9" t="s">
        <v>46</v>
      </c>
      <c r="B104" s="13" t="s">
        <v>257</v>
      </c>
      <c r="C104" s="14" t="s">
        <v>223</v>
      </c>
      <c r="D104" s="15" t="s">
        <v>258</v>
      </c>
    </row>
    <row r="105" spans="1:4" ht="15" customHeight="1" x14ac:dyDescent="0.3">
      <c r="A105" s="9" t="s">
        <v>47</v>
      </c>
      <c r="B105" s="20" t="s">
        <v>259</v>
      </c>
      <c r="C105" s="14" t="s">
        <v>222</v>
      </c>
      <c r="D105" s="15"/>
    </row>
    <row r="106" spans="1:4" ht="43.2" x14ac:dyDescent="0.3">
      <c r="A106" s="9" t="s">
        <v>47</v>
      </c>
      <c r="B106" s="20" t="s">
        <v>260</v>
      </c>
      <c r="C106" s="14" t="s">
        <v>261</v>
      </c>
      <c r="D106" s="15" t="s">
        <v>262</v>
      </c>
    </row>
    <row r="107" spans="1:4" ht="28.8" x14ac:dyDescent="0.3">
      <c r="A107" s="9" t="s">
        <v>47</v>
      </c>
      <c r="B107" s="19" t="s">
        <v>263</v>
      </c>
      <c r="C107" s="14" t="s">
        <v>264</v>
      </c>
      <c r="D107" s="15" t="s">
        <v>265</v>
      </c>
    </row>
    <row r="108" spans="1:4" ht="15" customHeight="1" x14ac:dyDescent="0.3">
      <c r="A108" s="9" t="s">
        <v>48</v>
      </c>
      <c r="B108" s="19" t="s">
        <v>266</v>
      </c>
      <c r="C108" s="14" t="s">
        <v>267</v>
      </c>
      <c r="D108" s="15"/>
    </row>
    <row r="109" spans="1:4" ht="31.2" x14ac:dyDescent="0.3">
      <c r="A109" s="32" t="s">
        <v>49</v>
      </c>
      <c r="B109" s="13" t="s">
        <v>268</v>
      </c>
      <c r="C109" s="14" t="s">
        <v>269</v>
      </c>
      <c r="D109" s="15" t="s">
        <v>270</v>
      </c>
    </row>
    <row r="110" spans="1:4" ht="31.2" x14ac:dyDescent="0.3">
      <c r="A110" s="32" t="s">
        <v>50</v>
      </c>
      <c r="B110" s="13" t="s">
        <v>271</v>
      </c>
      <c r="C110" s="14" t="s">
        <v>272</v>
      </c>
      <c r="D110" s="15" t="s">
        <v>272</v>
      </c>
    </row>
  </sheetData>
  <autoFilter ref="A1:D110">
    <sortState ref="A2:D110">
      <sortCondition ref="B1:B110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SheetLayoutView="100" workbookViewId="0">
      <selection activeCell="C52" sqref="C52"/>
    </sheetView>
  </sheetViews>
  <sheetFormatPr defaultColWidth="9" defaultRowHeight="15.6" x14ac:dyDescent="0.3"/>
  <cols>
    <col min="1" max="1" width="45.44140625" style="1" customWidth="1"/>
    <col min="2" max="2" width="11" style="2" customWidth="1"/>
    <col min="3" max="3" width="39.5546875" style="3" customWidth="1"/>
    <col min="4" max="4" width="43.6640625" style="4" customWidth="1"/>
  </cols>
  <sheetData>
    <row r="1" spans="1:4" x14ac:dyDescent="0.3">
      <c r="A1" s="5" t="s">
        <v>52</v>
      </c>
      <c r="B1" s="6" t="s">
        <v>53</v>
      </c>
      <c r="C1" s="7" t="s">
        <v>54</v>
      </c>
      <c r="D1" s="8" t="s">
        <v>55</v>
      </c>
    </row>
    <row r="2" spans="1:4" ht="15" customHeight="1" x14ac:dyDescent="0.3">
      <c r="A2" s="9" t="s">
        <v>27</v>
      </c>
      <c r="B2" s="13" t="s">
        <v>273</v>
      </c>
      <c r="C2" s="14" t="s">
        <v>274</v>
      </c>
      <c r="D2" s="15"/>
    </row>
    <row r="3" spans="1:4" ht="28.8" x14ac:dyDescent="0.3">
      <c r="A3" s="9" t="s">
        <v>38</v>
      </c>
      <c r="B3" s="13" t="s">
        <v>275</v>
      </c>
      <c r="C3" s="14" t="s">
        <v>276</v>
      </c>
      <c r="D3" s="15" t="s">
        <v>277</v>
      </c>
    </row>
    <row r="4" spans="1:4" ht="28.8" x14ac:dyDescent="0.3">
      <c r="A4" s="9" t="s">
        <v>40</v>
      </c>
      <c r="B4" s="13" t="s">
        <v>278</v>
      </c>
      <c r="C4" s="14" t="s">
        <v>279</v>
      </c>
      <c r="D4" s="15" t="s">
        <v>280</v>
      </c>
    </row>
    <row r="5" spans="1:4" ht="15" customHeight="1" x14ac:dyDescent="0.3">
      <c r="A5" s="9" t="s">
        <v>40</v>
      </c>
      <c r="B5" s="20" t="s">
        <v>281</v>
      </c>
      <c r="C5" s="14" t="s">
        <v>282</v>
      </c>
      <c r="D5" s="15" t="s">
        <v>283</v>
      </c>
    </row>
    <row r="6" spans="1:4" ht="15" customHeight="1" x14ac:dyDescent="0.3">
      <c r="A6" s="9" t="s">
        <v>40</v>
      </c>
      <c r="B6" s="21" t="s">
        <v>284</v>
      </c>
      <c r="C6" s="22" t="s">
        <v>285</v>
      </c>
      <c r="D6" s="15" t="s">
        <v>286</v>
      </c>
    </row>
    <row r="7" spans="1:4" ht="15" customHeight="1" x14ac:dyDescent="0.3">
      <c r="A7" s="9" t="s">
        <v>51</v>
      </c>
      <c r="B7" s="23" t="s">
        <v>287</v>
      </c>
      <c r="C7" s="14" t="s">
        <v>288</v>
      </c>
      <c r="D7" s="24" t="s">
        <v>288</v>
      </c>
    </row>
    <row r="8" spans="1:4" x14ac:dyDescent="0.3">
      <c r="A8" s="9" t="s">
        <v>51</v>
      </c>
      <c r="B8" s="25" t="s">
        <v>289</v>
      </c>
      <c r="C8" s="14" t="s">
        <v>290</v>
      </c>
      <c r="D8" s="24" t="s">
        <v>291</v>
      </c>
    </row>
  </sheetData>
  <autoFilter ref="A1:D8">
    <sortState ref="A2:D8">
      <sortCondition ref="B1:B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zoomScaleSheetLayoutView="100" workbookViewId="0">
      <selection activeCell="B3" sqref="B3"/>
    </sheetView>
  </sheetViews>
  <sheetFormatPr defaultColWidth="9" defaultRowHeight="15.6" x14ac:dyDescent="0.3"/>
  <cols>
    <col min="1" max="1" width="45.44140625" style="1" customWidth="1"/>
    <col min="2" max="2" width="11" style="2" customWidth="1"/>
    <col min="3" max="3" width="39.5546875" style="3" customWidth="1"/>
    <col min="4" max="4" width="43.6640625" style="4" customWidth="1"/>
  </cols>
  <sheetData>
    <row r="1" spans="1:4" x14ac:dyDescent="0.3">
      <c r="A1" s="5" t="s">
        <v>52</v>
      </c>
      <c r="B1" s="6" t="s">
        <v>53</v>
      </c>
      <c r="C1" s="7" t="s">
        <v>54</v>
      </c>
      <c r="D1" s="8" t="s">
        <v>55</v>
      </c>
    </row>
    <row r="2" spans="1:4" ht="31.2" x14ac:dyDescent="0.3">
      <c r="A2" s="9" t="s">
        <v>20</v>
      </c>
      <c r="B2" s="10" t="s">
        <v>292</v>
      </c>
      <c r="C2" s="11" t="s">
        <v>57</v>
      </c>
      <c r="D2" s="12" t="s">
        <v>293</v>
      </c>
    </row>
    <row r="3" spans="1:4" ht="31.2" x14ac:dyDescent="0.3">
      <c r="A3" s="9" t="s">
        <v>21</v>
      </c>
      <c r="B3" s="13" t="s">
        <v>294</v>
      </c>
      <c r="C3" s="14" t="s">
        <v>60</v>
      </c>
      <c r="D3" s="15" t="s">
        <v>61</v>
      </c>
    </row>
    <row r="4" spans="1:4" ht="28.8" x14ac:dyDescent="0.3">
      <c r="A4" s="9" t="s">
        <v>22</v>
      </c>
      <c r="B4" s="13" t="s">
        <v>295</v>
      </c>
      <c r="C4" s="14" t="s">
        <v>63</v>
      </c>
      <c r="D4" s="15" t="s">
        <v>65</v>
      </c>
    </row>
    <row r="5" spans="1:4" ht="28.8" x14ac:dyDescent="0.3">
      <c r="A5" s="9" t="s">
        <v>23</v>
      </c>
      <c r="B5" s="13" t="s">
        <v>296</v>
      </c>
      <c r="C5" s="14" t="s">
        <v>70</v>
      </c>
      <c r="D5" s="15" t="s">
        <v>297</v>
      </c>
    </row>
    <row r="6" spans="1:4" ht="15" customHeight="1" x14ac:dyDescent="0.3">
      <c r="A6" s="9" t="s">
        <v>23</v>
      </c>
      <c r="B6" s="13" t="s">
        <v>296</v>
      </c>
      <c r="C6" s="14" t="s">
        <v>70</v>
      </c>
      <c r="D6" s="15" t="s">
        <v>70</v>
      </c>
    </row>
    <row r="7" spans="1:4" ht="28.8" x14ac:dyDescent="0.3">
      <c r="A7" s="9" t="s">
        <v>24</v>
      </c>
      <c r="B7" s="13" t="s">
        <v>298</v>
      </c>
      <c r="C7" s="14" t="s">
        <v>73</v>
      </c>
      <c r="D7" s="15" t="s">
        <v>299</v>
      </c>
    </row>
    <row r="8" spans="1:4" ht="28.8" x14ac:dyDescent="0.3">
      <c r="A8" s="9" t="s">
        <v>24</v>
      </c>
      <c r="B8" s="13" t="s">
        <v>298</v>
      </c>
      <c r="C8" s="14" t="s">
        <v>73</v>
      </c>
      <c r="D8" s="15" t="s">
        <v>300</v>
      </c>
    </row>
    <row r="9" spans="1:4" ht="15" customHeight="1" x14ac:dyDescent="0.3">
      <c r="A9" s="9" t="s">
        <v>26</v>
      </c>
      <c r="B9" s="16" t="s">
        <v>301</v>
      </c>
      <c r="C9" s="17" t="s">
        <v>84</v>
      </c>
      <c r="D9" s="15"/>
    </row>
    <row r="10" spans="1:4" ht="15" customHeight="1" x14ac:dyDescent="0.3">
      <c r="A10" s="9" t="s">
        <v>27</v>
      </c>
      <c r="B10" s="13" t="s">
        <v>302</v>
      </c>
      <c r="C10" s="14" t="s">
        <v>87</v>
      </c>
      <c r="D10" s="15" t="s">
        <v>303</v>
      </c>
    </row>
    <row r="11" spans="1:4" ht="28.8" x14ac:dyDescent="0.3">
      <c r="A11" s="18" t="s">
        <v>29</v>
      </c>
      <c r="B11" s="13" t="s">
        <v>304</v>
      </c>
      <c r="C11" s="14" t="s">
        <v>93</v>
      </c>
      <c r="D11" s="15" t="s">
        <v>94</v>
      </c>
    </row>
    <row r="12" spans="1:4" ht="28.8" x14ac:dyDescent="0.3">
      <c r="A12" s="18" t="s">
        <v>30</v>
      </c>
      <c r="B12" s="13" t="s">
        <v>305</v>
      </c>
      <c r="C12" s="14" t="s">
        <v>96</v>
      </c>
      <c r="D12" s="15" t="s">
        <v>97</v>
      </c>
    </row>
    <row r="13" spans="1:4" ht="28.8" x14ac:dyDescent="0.3">
      <c r="A13" s="18" t="s">
        <v>30</v>
      </c>
      <c r="B13" s="13" t="s">
        <v>306</v>
      </c>
      <c r="C13" s="14" t="s">
        <v>99</v>
      </c>
      <c r="D13" s="15" t="s">
        <v>307</v>
      </c>
    </row>
    <row r="14" spans="1:4" ht="28.8" x14ac:dyDescent="0.3">
      <c r="A14" s="18" t="s">
        <v>30</v>
      </c>
      <c r="B14" s="19" t="s">
        <v>308</v>
      </c>
      <c r="C14" s="14" t="s">
        <v>106</v>
      </c>
      <c r="D14" s="15" t="s">
        <v>309</v>
      </c>
    </row>
    <row r="15" spans="1:4" ht="31.2" x14ac:dyDescent="0.3">
      <c r="A15" s="9" t="s">
        <v>31</v>
      </c>
      <c r="B15" s="19" t="s">
        <v>310</v>
      </c>
      <c r="C15" s="14" t="s">
        <v>110</v>
      </c>
      <c r="D15" s="15" t="s">
        <v>111</v>
      </c>
    </row>
    <row r="16" spans="1:4" ht="31.2" x14ac:dyDescent="0.3">
      <c r="A16" s="9" t="s">
        <v>31</v>
      </c>
      <c r="B16" s="13" t="s">
        <v>311</v>
      </c>
      <c r="C16" s="14" t="s">
        <v>113</v>
      </c>
      <c r="D16" s="15" t="s">
        <v>312</v>
      </c>
    </row>
    <row r="17" spans="1:4" ht="43.2" x14ac:dyDescent="0.3">
      <c r="A17" s="9" t="s">
        <v>31</v>
      </c>
      <c r="B17" s="13" t="s">
        <v>313</v>
      </c>
      <c r="C17" s="14" t="s">
        <v>119</v>
      </c>
      <c r="D17" s="15" t="s">
        <v>314</v>
      </c>
    </row>
    <row r="18" spans="1:4" ht="15" customHeight="1" x14ac:dyDescent="0.3">
      <c r="A18" s="9" t="s">
        <v>31</v>
      </c>
      <c r="B18" s="13" t="s">
        <v>313</v>
      </c>
      <c r="C18" s="14" t="s">
        <v>119</v>
      </c>
      <c r="D18" s="15" t="s">
        <v>315</v>
      </c>
    </row>
    <row r="19" spans="1:4" ht="15" customHeight="1" x14ac:dyDescent="0.3">
      <c r="A19" s="9" t="s">
        <v>32</v>
      </c>
      <c r="B19" s="13" t="s">
        <v>316</v>
      </c>
      <c r="C19" s="14" t="s">
        <v>123</v>
      </c>
      <c r="D19" s="15" t="s">
        <v>317</v>
      </c>
    </row>
    <row r="20" spans="1:4" ht="15" customHeight="1" x14ac:dyDescent="0.3">
      <c r="A20" s="9" t="s">
        <v>32</v>
      </c>
      <c r="B20" s="13" t="s">
        <v>316</v>
      </c>
      <c r="C20" s="14" t="s">
        <v>123</v>
      </c>
      <c r="D20" s="15" t="s">
        <v>318</v>
      </c>
    </row>
    <row r="21" spans="1:4" ht="31.2" x14ac:dyDescent="0.3">
      <c r="A21" s="9" t="s">
        <v>33</v>
      </c>
      <c r="B21" s="19" t="s">
        <v>319</v>
      </c>
      <c r="C21" s="14" t="s">
        <v>127</v>
      </c>
      <c r="D21" s="15"/>
    </row>
    <row r="22" spans="1:4" ht="31.2" x14ac:dyDescent="0.3">
      <c r="A22" s="9" t="s">
        <v>33</v>
      </c>
      <c r="B22" s="19" t="s">
        <v>320</v>
      </c>
      <c r="C22" s="14" t="s">
        <v>130</v>
      </c>
      <c r="D22" s="15"/>
    </row>
    <row r="23" spans="1:4" ht="15" customHeight="1" x14ac:dyDescent="0.3">
      <c r="A23" s="18" t="s">
        <v>36</v>
      </c>
      <c r="B23" s="13" t="s">
        <v>321</v>
      </c>
      <c r="C23" s="14" t="s">
        <v>138</v>
      </c>
      <c r="D23" s="15" t="s">
        <v>322</v>
      </c>
    </row>
    <row r="24" spans="1:4" ht="31.2" x14ac:dyDescent="0.3">
      <c r="A24" s="18" t="s">
        <v>36</v>
      </c>
      <c r="B24" s="13" t="s">
        <v>323</v>
      </c>
      <c r="C24" s="14" t="s">
        <v>144</v>
      </c>
      <c r="D24" s="15" t="s">
        <v>144</v>
      </c>
    </row>
    <row r="25" spans="1:4" ht="15" customHeight="1" x14ac:dyDescent="0.3">
      <c r="A25" s="18" t="s">
        <v>36</v>
      </c>
      <c r="B25" s="19" t="s">
        <v>324</v>
      </c>
      <c r="C25" s="14" t="s">
        <v>147</v>
      </c>
      <c r="D25" s="15" t="s">
        <v>148</v>
      </c>
    </row>
    <row r="26" spans="1:4" ht="15" customHeight="1" x14ac:dyDescent="0.3">
      <c r="A26" s="18" t="s">
        <v>36</v>
      </c>
      <c r="B26" s="13" t="s">
        <v>325</v>
      </c>
      <c r="C26" s="14" t="s">
        <v>150</v>
      </c>
      <c r="D26" s="15" t="s">
        <v>151</v>
      </c>
    </row>
    <row r="27" spans="1:4" ht="31.2" x14ac:dyDescent="0.3">
      <c r="A27" s="18" t="s">
        <v>36</v>
      </c>
      <c r="B27" s="13" t="s">
        <v>326</v>
      </c>
      <c r="C27" s="14" t="s">
        <v>155</v>
      </c>
      <c r="D27" s="15" t="s">
        <v>327</v>
      </c>
    </row>
    <row r="28" spans="1:4" ht="31.2" x14ac:dyDescent="0.3">
      <c r="A28" s="18" t="s">
        <v>36</v>
      </c>
      <c r="B28" s="19" t="s">
        <v>328</v>
      </c>
      <c r="C28" s="14" t="s">
        <v>158</v>
      </c>
      <c r="D28" s="15" t="s">
        <v>158</v>
      </c>
    </row>
    <row r="29" spans="1:4" ht="15" customHeight="1" x14ac:dyDescent="0.3">
      <c r="A29" s="9" t="s">
        <v>37</v>
      </c>
      <c r="B29" s="13" t="s">
        <v>329</v>
      </c>
      <c r="C29" s="14" t="s">
        <v>160</v>
      </c>
      <c r="D29" s="15" t="s">
        <v>330</v>
      </c>
    </row>
    <row r="30" spans="1:4" ht="15" customHeight="1" x14ac:dyDescent="0.3">
      <c r="A30" s="9" t="s">
        <v>38</v>
      </c>
      <c r="B30" s="13" t="s">
        <v>331</v>
      </c>
      <c r="C30" s="14" t="s">
        <v>162</v>
      </c>
      <c r="D30" s="15" t="s">
        <v>163</v>
      </c>
    </row>
    <row r="31" spans="1:4" x14ac:dyDescent="0.3">
      <c r="A31" s="9" t="s">
        <v>38</v>
      </c>
      <c r="B31" s="13" t="s">
        <v>331</v>
      </c>
      <c r="C31" s="14" t="s">
        <v>162</v>
      </c>
      <c r="D31" s="15" t="s">
        <v>166</v>
      </c>
    </row>
    <row r="32" spans="1:4" ht="15" customHeight="1" x14ac:dyDescent="0.3">
      <c r="A32" s="9" t="s">
        <v>38</v>
      </c>
      <c r="B32" s="13" t="s">
        <v>331</v>
      </c>
      <c r="C32" s="14" t="s">
        <v>162</v>
      </c>
      <c r="D32" s="15" t="s">
        <v>167</v>
      </c>
    </row>
    <row r="33" spans="1:4" ht="15" customHeight="1" x14ac:dyDescent="0.3">
      <c r="A33" s="9" t="s">
        <v>38</v>
      </c>
      <c r="B33" s="13" t="s">
        <v>331</v>
      </c>
      <c r="C33" s="14" t="s">
        <v>162</v>
      </c>
      <c r="D33" s="15" t="s">
        <v>168</v>
      </c>
    </row>
    <row r="34" spans="1:4" ht="15" customHeight="1" x14ac:dyDescent="0.3">
      <c r="A34" s="9" t="s">
        <v>38</v>
      </c>
      <c r="B34" s="13" t="s">
        <v>332</v>
      </c>
      <c r="C34" s="14" t="s">
        <v>171</v>
      </c>
      <c r="D34" s="15" t="s">
        <v>171</v>
      </c>
    </row>
    <row r="35" spans="1:4" ht="15" customHeight="1" x14ac:dyDescent="0.3">
      <c r="A35" s="9" t="s">
        <v>38</v>
      </c>
      <c r="B35" s="13" t="s">
        <v>333</v>
      </c>
      <c r="C35" s="14" t="s">
        <v>176</v>
      </c>
      <c r="D35" s="15" t="s">
        <v>176</v>
      </c>
    </row>
    <row r="36" spans="1:4" ht="15" customHeight="1" x14ac:dyDescent="0.3">
      <c r="A36" s="9" t="s">
        <v>38</v>
      </c>
      <c r="B36" s="13" t="s">
        <v>334</v>
      </c>
      <c r="C36" s="14" t="s">
        <v>180</v>
      </c>
      <c r="D36" s="15" t="s">
        <v>181</v>
      </c>
    </row>
    <row r="37" spans="1:4" ht="15" customHeight="1" x14ac:dyDescent="0.3">
      <c r="A37" s="9" t="s">
        <v>38</v>
      </c>
      <c r="B37" s="13" t="s">
        <v>335</v>
      </c>
      <c r="C37" s="14" t="s">
        <v>169</v>
      </c>
      <c r="D37" s="15" t="s">
        <v>169</v>
      </c>
    </row>
    <row r="38" spans="1:4" ht="15" customHeight="1" x14ac:dyDescent="0.3">
      <c r="A38" s="9" t="s">
        <v>38</v>
      </c>
      <c r="B38" s="13" t="s">
        <v>335</v>
      </c>
      <c r="C38" s="14" t="s">
        <v>169</v>
      </c>
      <c r="D38" s="15" t="s">
        <v>336</v>
      </c>
    </row>
    <row r="39" spans="1:4" ht="15" customHeight="1" x14ac:dyDescent="0.3">
      <c r="A39" s="9" t="s">
        <v>39</v>
      </c>
      <c r="B39" s="19" t="s">
        <v>337</v>
      </c>
      <c r="C39" s="14" t="s">
        <v>186</v>
      </c>
      <c r="D39" s="15" t="s">
        <v>186</v>
      </c>
    </row>
    <row r="40" spans="1:4" ht="15" customHeight="1" x14ac:dyDescent="0.3">
      <c r="A40" s="9" t="s">
        <v>39</v>
      </c>
      <c r="B40" s="13" t="s">
        <v>338</v>
      </c>
      <c r="C40" s="14" t="s">
        <v>188</v>
      </c>
      <c r="D40" s="15" t="s">
        <v>339</v>
      </c>
    </row>
    <row r="41" spans="1:4" ht="15" customHeight="1" x14ac:dyDescent="0.3">
      <c r="A41" s="9" t="s">
        <v>39</v>
      </c>
      <c r="B41" s="13" t="s">
        <v>338</v>
      </c>
      <c r="C41" s="14" t="s">
        <v>188</v>
      </c>
      <c r="D41" s="15" t="s">
        <v>188</v>
      </c>
    </row>
    <row r="42" spans="1:4" ht="28.8" x14ac:dyDescent="0.3">
      <c r="A42" s="9" t="s">
        <v>39</v>
      </c>
      <c r="B42" s="19" t="s">
        <v>340</v>
      </c>
      <c r="C42" s="14" t="s">
        <v>191</v>
      </c>
      <c r="D42" s="15" t="s">
        <v>341</v>
      </c>
    </row>
    <row r="43" spans="1:4" ht="15" customHeight="1" x14ac:dyDescent="0.3">
      <c r="A43" s="9" t="s">
        <v>40</v>
      </c>
      <c r="B43" s="13" t="s">
        <v>342</v>
      </c>
      <c r="C43" s="14" t="s">
        <v>193</v>
      </c>
      <c r="D43" s="15" t="s">
        <v>193</v>
      </c>
    </row>
    <row r="44" spans="1:4" ht="15" customHeight="1" x14ac:dyDescent="0.3">
      <c r="A44" s="9" t="s">
        <v>41</v>
      </c>
      <c r="B44" s="19" t="s">
        <v>343</v>
      </c>
      <c r="C44" s="14" t="s">
        <v>198</v>
      </c>
      <c r="D44" s="15"/>
    </row>
    <row r="45" spans="1:4" ht="15" customHeight="1" x14ac:dyDescent="0.3">
      <c r="A45" s="9" t="s">
        <v>42</v>
      </c>
      <c r="B45" s="13" t="s">
        <v>344</v>
      </c>
      <c r="C45" s="14" t="s">
        <v>345</v>
      </c>
      <c r="D45" s="15" t="s">
        <v>345</v>
      </c>
    </row>
    <row r="46" spans="1:4" ht="31.2" x14ac:dyDescent="0.3">
      <c r="A46" s="9" t="s">
        <v>42</v>
      </c>
      <c r="B46" s="19" t="s">
        <v>346</v>
      </c>
      <c r="C46" s="14" t="s">
        <v>205</v>
      </c>
      <c r="D46" s="15" t="s">
        <v>206</v>
      </c>
    </row>
    <row r="47" spans="1:4" ht="28.8" x14ac:dyDescent="0.3">
      <c r="A47" s="18" t="s">
        <v>43</v>
      </c>
      <c r="B47" s="19" t="s">
        <v>347</v>
      </c>
      <c r="C47" s="14" t="s">
        <v>211</v>
      </c>
      <c r="D47" s="15" t="s">
        <v>348</v>
      </c>
    </row>
    <row r="48" spans="1:4" ht="43.2" x14ac:dyDescent="0.3">
      <c r="A48" s="18" t="s">
        <v>43</v>
      </c>
      <c r="B48" s="19" t="s">
        <v>347</v>
      </c>
      <c r="C48" s="14" t="s">
        <v>211</v>
      </c>
      <c r="D48" s="15" t="s">
        <v>349</v>
      </c>
    </row>
    <row r="49" spans="1:4" ht="15" customHeight="1" x14ac:dyDescent="0.3">
      <c r="A49" s="18" t="s">
        <v>44</v>
      </c>
      <c r="B49" s="13" t="s">
        <v>350</v>
      </c>
      <c r="C49" s="14" t="s">
        <v>217</v>
      </c>
      <c r="D49" s="15" t="s">
        <v>218</v>
      </c>
    </row>
    <row r="50" spans="1:4" ht="15" customHeight="1" x14ac:dyDescent="0.3">
      <c r="A50" s="18" t="s">
        <v>44</v>
      </c>
      <c r="B50" s="13" t="s">
        <v>350</v>
      </c>
      <c r="C50" s="14" t="s">
        <v>217</v>
      </c>
      <c r="D50" s="15" t="s">
        <v>219</v>
      </c>
    </row>
    <row r="51" spans="1:4" ht="15" customHeight="1" x14ac:dyDescent="0.3">
      <c r="A51" s="18" t="s">
        <v>44</v>
      </c>
      <c r="B51" s="13" t="s">
        <v>350</v>
      </c>
      <c r="C51" s="14" t="s">
        <v>217</v>
      </c>
      <c r="D51" s="15" t="s">
        <v>351</v>
      </c>
    </row>
    <row r="52" spans="1:4" ht="31.2" x14ac:dyDescent="0.3">
      <c r="A52" s="18" t="s">
        <v>44</v>
      </c>
      <c r="B52" s="13" t="s">
        <v>350</v>
      </c>
      <c r="C52" s="14" t="s">
        <v>217</v>
      </c>
      <c r="D52" s="15" t="s">
        <v>239</v>
      </c>
    </row>
    <row r="53" spans="1:4" ht="43.2" x14ac:dyDescent="0.3">
      <c r="A53" s="18" t="s">
        <v>44</v>
      </c>
      <c r="B53" s="13" t="s">
        <v>350</v>
      </c>
      <c r="C53" s="14" t="s">
        <v>217</v>
      </c>
      <c r="D53" s="15" t="s">
        <v>352</v>
      </c>
    </row>
    <row r="54" spans="1:4" ht="31.2" x14ac:dyDescent="0.3">
      <c r="A54" s="18" t="s">
        <v>44</v>
      </c>
      <c r="B54" s="13" t="s">
        <v>350</v>
      </c>
      <c r="C54" s="14" t="s">
        <v>217</v>
      </c>
      <c r="D54" s="15" t="s">
        <v>353</v>
      </c>
    </row>
    <row r="55" spans="1:4" ht="15" customHeight="1" x14ac:dyDescent="0.3">
      <c r="A55" s="18" t="s">
        <v>44</v>
      </c>
      <c r="B55" s="13" t="s">
        <v>350</v>
      </c>
      <c r="C55" s="14" t="s">
        <v>217</v>
      </c>
      <c r="D55" s="15" t="s">
        <v>354</v>
      </c>
    </row>
    <row r="56" spans="1:4" ht="15" customHeight="1" x14ac:dyDescent="0.3">
      <c r="A56" s="18" t="s">
        <v>44</v>
      </c>
      <c r="B56" s="13" t="s">
        <v>350</v>
      </c>
      <c r="C56" s="14" t="s">
        <v>217</v>
      </c>
      <c r="D56" s="15" t="s">
        <v>355</v>
      </c>
    </row>
    <row r="57" spans="1:4" ht="31.2" x14ac:dyDescent="0.3">
      <c r="A57" s="18" t="s">
        <v>44</v>
      </c>
      <c r="B57" s="13" t="s">
        <v>350</v>
      </c>
      <c r="C57" s="14" t="s">
        <v>217</v>
      </c>
      <c r="D57" s="15" t="s">
        <v>356</v>
      </c>
    </row>
    <row r="58" spans="1:4" ht="31.2" x14ac:dyDescent="0.3">
      <c r="A58" s="18" t="s">
        <v>44</v>
      </c>
      <c r="B58" s="13" t="s">
        <v>350</v>
      </c>
      <c r="C58" s="14" t="s">
        <v>217</v>
      </c>
      <c r="D58" s="15" t="s">
        <v>223</v>
      </c>
    </row>
    <row r="59" spans="1:4" ht="31.2" x14ac:dyDescent="0.3">
      <c r="A59" s="18" t="s">
        <v>44</v>
      </c>
      <c r="B59" s="13" t="s">
        <v>350</v>
      </c>
      <c r="C59" s="14" t="s">
        <v>217</v>
      </c>
      <c r="D59" s="15" t="s">
        <v>357</v>
      </c>
    </row>
    <row r="60" spans="1:4" ht="31.2" x14ac:dyDescent="0.3">
      <c r="A60" s="18" t="s">
        <v>44</v>
      </c>
      <c r="B60" s="13" t="s">
        <v>350</v>
      </c>
      <c r="C60" s="14" t="s">
        <v>217</v>
      </c>
      <c r="D60" s="15" t="s">
        <v>358</v>
      </c>
    </row>
    <row r="61" spans="1:4" ht="31.2" x14ac:dyDescent="0.3">
      <c r="A61" s="18" t="s">
        <v>44</v>
      </c>
      <c r="B61" s="13" t="s">
        <v>350</v>
      </c>
      <c r="C61" s="14" t="s">
        <v>217</v>
      </c>
      <c r="D61" s="15" t="s">
        <v>359</v>
      </c>
    </row>
    <row r="62" spans="1:4" ht="15" customHeight="1" x14ac:dyDescent="0.3">
      <c r="A62" s="18" t="s">
        <v>44</v>
      </c>
      <c r="B62" s="13" t="s">
        <v>350</v>
      </c>
      <c r="C62" s="14" t="s">
        <v>217</v>
      </c>
      <c r="D62" s="15" t="s">
        <v>360</v>
      </c>
    </row>
    <row r="63" spans="1:4" ht="31.2" x14ac:dyDescent="0.3">
      <c r="A63" s="18" t="s">
        <v>44</v>
      </c>
      <c r="B63" s="13" t="s">
        <v>361</v>
      </c>
      <c r="C63" s="14" t="s">
        <v>225</v>
      </c>
      <c r="D63" s="15" t="s">
        <v>226</v>
      </c>
    </row>
    <row r="64" spans="1:4" ht="31.2" x14ac:dyDescent="0.3">
      <c r="A64" s="18" t="s">
        <v>44</v>
      </c>
      <c r="B64" s="13" t="s">
        <v>362</v>
      </c>
      <c r="C64" s="14" t="s">
        <v>228</v>
      </c>
      <c r="D64" s="15" t="s">
        <v>229</v>
      </c>
    </row>
    <row r="65" spans="1:4" ht="31.2" x14ac:dyDescent="0.3">
      <c r="A65" s="18" t="s">
        <v>44</v>
      </c>
      <c r="B65" s="13" t="s">
        <v>362</v>
      </c>
      <c r="C65" s="14" t="s">
        <v>228</v>
      </c>
      <c r="D65" s="15" t="s">
        <v>363</v>
      </c>
    </row>
    <row r="66" spans="1:4" ht="31.2" x14ac:dyDescent="0.3">
      <c r="A66" s="18" t="s">
        <v>44</v>
      </c>
      <c r="B66" s="13" t="s">
        <v>362</v>
      </c>
      <c r="C66" s="14" t="s">
        <v>228</v>
      </c>
      <c r="D66" s="15" t="s">
        <v>364</v>
      </c>
    </row>
    <row r="67" spans="1:4" ht="15" customHeight="1" x14ac:dyDescent="0.3">
      <c r="A67" s="18" t="s">
        <v>44</v>
      </c>
      <c r="B67" s="13" t="s">
        <v>365</v>
      </c>
      <c r="C67" s="14" t="s">
        <v>232</v>
      </c>
      <c r="D67" s="15" t="s">
        <v>366</v>
      </c>
    </row>
    <row r="68" spans="1:4" ht="15" customHeight="1" x14ac:dyDescent="0.3">
      <c r="A68" s="9" t="s">
        <v>45</v>
      </c>
      <c r="B68" s="13" t="s">
        <v>367</v>
      </c>
      <c r="C68" s="14" t="s">
        <v>255</v>
      </c>
      <c r="D68" s="15" t="s">
        <v>368</v>
      </c>
    </row>
    <row r="69" spans="1:4" ht="28.8" x14ac:dyDescent="0.3">
      <c r="A69" s="9" t="s">
        <v>45</v>
      </c>
      <c r="B69" s="13" t="s">
        <v>367</v>
      </c>
      <c r="C69" s="14" t="s">
        <v>255</v>
      </c>
      <c r="D69" s="15" t="s">
        <v>369</v>
      </c>
    </row>
    <row r="70" spans="1:4" ht="15" customHeight="1" x14ac:dyDescent="0.3">
      <c r="A70" s="9" t="s">
        <v>46</v>
      </c>
      <c r="B70" s="13" t="s">
        <v>370</v>
      </c>
      <c r="C70" s="14" t="s">
        <v>223</v>
      </c>
      <c r="D70" s="15" t="s">
        <v>258</v>
      </c>
    </row>
    <row r="71" spans="1:4" ht="15" customHeight="1" x14ac:dyDescent="0.3">
      <c r="A71" s="9" t="s">
        <v>48</v>
      </c>
      <c r="B71" s="13" t="s">
        <v>371</v>
      </c>
      <c r="C71" s="14" t="s">
        <v>267</v>
      </c>
      <c r="D71" s="15"/>
    </row>
  </sheetData>
  <autoFilter ref="A1:D71">
    <sortState ref="A2:D71">
      <sortCondition ref="B1:B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Свод</vt:lpstr>
      <vt:lpstr>СПО БК</vt:lpstr>
      <vt:lpstr>СПО ПК</vt:lpstr>
      <vt:lpstr>СПО ВК</vt:lpstr>
      <vt:lpstr>СПО ЭФ</vt:lpstr>
      <vt:lpstr>ВО ЭФ </vt:lpstr>
      <vt:lpstr>Бакалавриат</vt:lpstr>
      <vt:lpstr>Специалитет</vt:lpstr>
      <vt:lpstr>Магистратура</vt:lpstr>
      <vt:lpstr>УГСН Бакалавриат</vt:lpstr>
      <vt:lpstr>УГСН Специалитет</vt:lpstr>
      <vt:lpstr>УГСН Магистратура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2026-06-25T15:35:00Z</dcterms:created>
  <dcterms:modified xsi:type="dcterms:W3CDTF">2026-06-26T06:08:08Z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57A9723E96F94101BB0EBC1A1E052245_13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r8>0</vt:r8>
  </property>
</Properties>
</file>